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<sst xmlns="http://schemas.openxmlformats.org/spreadsheetml/2006/main" count="93" uniqueCount="75">
  <si>
    <t>Акторы</t>
  </si>
  <si>
    <t>Тип</t>
  </si>
  <si>
    <t>Вес</t>
  </si>
  <si>
    <t>Кол-во</t>
  </si>
  <si>
    <t>Итог</t>
  </si>
  <si>
    <t>Администратор системы</t>
  </si>
  <si>
    <t>Complex</t>
  </si>
  <si>
    <t>Пользователь системы</t>
  </si>
  <si>
    <t>Average</t>
  </si>
  <si>
    <t>Внешний источник данных</t>
  </si>
  <si>
    <t>Simple</t>
  </si>
  <si>
    <t>Unadjusted Actor Weight (UAW)</t>
  </si>
  <si>
    <t>Use Case</t>
  </si>
  <si>
    <t>Кол-во транзакций</t>
  </si>
  <si>
    <t>UC1</t>
  </si>
  <si>
    <t>UC2</t>
  </si>
  <si>
    <t>UC3</t>
  </si>
  <si>
    <t>UC4</t>
  </si>
  <si>
    <t>UC5</t>
  </si>
  <si>
    <t>UC6</t>
  </si>
  <si>
    <t>UC7</t>
  </si>
  <si>
    <t>UC8</t>
  </si>
  <si>
    <t>UC9</t>
  </si>
  <si>
    <t>UC10</t>
  </si>
  <si>
    <t>UCP =</t>
  </si>
  <si>
    <t>Unadjusted Use Case Weight (UUCW)</t>
  </si>
  <si>
    <t>Оценка трудозатрат (в человеко-часах) =</t>
  </si>
  <si>
    <t>Номер фактора</t>
  </si>
  <si>
    <t>Описание фактора</t>
  </si>
  <si>
    <t>Оценка</t>
  </si>
  <si>
    <t>Взвешенный итог</t>
  </si>
  <si>
    <t>T1</t>
  </si>
  <si>
    <t>Distributed system</t>
  </si>
  <si>
    <t>T2</t>
  </si>
  <si>
    <t>Response time/performance objectives</t>
  </si>
  <si>
    <t>T3</t>
  </si>
  <si>
    <t>End-user efficiency</t>
  </si>
  <si>
    <t>T4</t>
  </si>
  <si>
    <t>Internal processing complexity</t>
  </si>
  <si>
    <t>T5</t>
  </si>
  <si>
    <t>Code reusability</t>
  </si>
  <si>
    <t>T6</t>
  </si>
  <si>
    <t>Easy to install</t>
  </si>
  <si>
    <t>T7</t>
  </si>
  <si>
    <t>Easy to use</t>
  </si>
  <si>
    <t>T8</t>
  </si>
  <si>
    <t>Portability to other platforms</t>
  </si>
  <si>
    <t>T9</t>
  </si>
  <si>
    <t>System maintenance</t>
  </si>
  <si>
    <t>T10</t>
  </si>
  <si>
    <t>Concurrent/parallel processing</t>
  </si>
  <si>
    <t>T11</t>
  </si>
  <si>
    <t>Security features</t>
  </si>
  <si>
    <t>T12</t>
  </si>
  <si>
    <t>Access for third parties</t>
  </si>
  <si>
    <t>T13</t>
  </si>
  <si>
    <t>End user training</t>
  </si>
  <si>
    <t>Technical Complexity Factor (TCF)</t>
  </si>
  <si>
    <t>E1</t>
  </si>
  <si>
    <t>Знакомство команды с UML / требованиями</t>
  </si>
  <si>
    <t>E2</t>
  </si>
  <si>
    <t>Опыт разработки приложений подобного типа</t>
  </si>
  <si>
    <t>E3</t>
  </si>
  <si>
    <t>Объектно-ориентированный опыт</t>
  </si>
  <si>
    <t>E4</t>
  </si>
  <si>
    <t>Способности аналитика / архитектора</t>
  </si>
  <si>
    <t>E5</t>
  </si>
  <si>
    <t>Мотивация команды</t>
  </si>
  <si>
    <t>E6</t>
  </si>
  <si>
    <t>Стабильность требований</t>
  </si>
  <si>
    <t>E7</t>
  </si>
  <si>
    <t>Неполная занятость команды (негативный фактор)</t>
  </si>
  <si>
    <t>E8</t>
  </si>
  <si>
    <t>Языковые/коммуникационные сложности (негативный)</t>
  </si>
  <si>
    <t>Environmental Complexity Factor (ECF)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</si>
</sst>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Comic Sans MS"/>
    </font>
    <font>
      <color theme="1"/>
      <name val="Comic Sans MS"/>
    </font>
    <font>
      <b/>
      <i/>
      <color theme="1"/>
      <name val="Comic Sans MS"/>
    </font>
    <font/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1" fillId="0" fontId="2" numFmtId="0" xfId="0" applyAlignment="1" applyBorder="1" applyFont="1">
      <alignment readingOrder="0"/>
    </xf>
    <xf borderId="1" fillId="0" fontId="2" numFmtId="0" xfId="0" applyBorder="1" applyFont="1"/>
    <xf borderId="2" fillId="0" fontId="3" numFmtId="0" xfId="0" applyBorder="1" applyFont="1"/>
    <xf borderId="3" fillId="0" fontId="4" numFmtId="0" xfId="0" applyBorder="1" applyFont="1"/>
    <xf borderId="4" fillId="0" fontId="4" numFmtId="0" xfId="0" applyBorder="1" applyFont="1"/>
    <xf borderId="1" fillId="0" fontId="1" numFmtId="0" xfId="0" applyBorder="1" applyFont="1"/>
    <xf borderId="5" fillId="2" fontId="1" numFmtId="0" xfId="0" applyBorder="1" applyFont="1"/>
    <xf borderId="6" fillId="2" fontId="1" numFmtId="0" xfId="0" applyBorder="1" applyFont="1"/>
    <xf borderId="7" fillId="2" fontId="1" numFmtId="0" xfId="0" applyBorder="1" applyFont="1"/>
    <xf borderId="8" fillId="2" fontId="1" numFmtId="0" xfId="0" applyBorder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1143000</xdr:colOff>
      <xdr:row>6</xdr:row>
      <xdr:rowOff>76200</xdr:rowOff>
    </xdr:from>
    <xdr:ext cx="6076950" cy="13049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1143000</xdr:colOff>
      <xdr:row>0</xdr:row>
      <xdr:rowOff>0</xdr:rowOff>
    </xdr:from>
    <xdr:ext cx="4143375" cy="13049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25"/>
    <col customWidth="1" min="2" max="2" width="46.0"/>
    <col customWidth="1" min="3" max="3" width="9.88"/>
    <col customWidth="1" min="4" max="4" width="7.0"/>
    <col customWidth="1" min="5" max="5" width="15.25"/>
    <col customWidth="1" min="6" max="6" width="35.5"/>
    <col customWidth="1" min="7" max="7" width="8.88"/>
    <col customWidth="1" min="8" max="8" width="6.88"/>
    <col customWidth="1" min="9" max="9" width="8.38"/>
    <col customWidth="1" min="12" max="12" width="16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5</v>
      </c>
      <c r="B2" s="4" t="s">
        <v>6</v>
      </c>
      <c r="C2" s="4">
        <v>3.0</v>
      </c>
      <c r="D2" s="4">
        <v>1.0</v>
      </c>
      <c r="E2" s="4">
        <f t="shared" ref="E2:E4" si="1">C2*D2</f>
        <v>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7</v>
      </c>
      <c r="B3" s="3" t="s">
        <v>8</v>
      </c>
      <c r="C3" s="3">
        <v>2.0</v>
      </c>
      <c r="D3" s="4">
        <v>1.0</v>
      </c>
      <c r="E3" s="4">
        <f t="shared" si="1"/>
        <v>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 t="s">
        <v>9</v>
      </c>
      <c r="B4" s="4" t="s">
        <v>10</v>
      </c>
      <c r="C4" s="4">
        <v>1.0</v>
      </c>
      <c r="D4" s="4">
        <v>1.0</v>
      </c>
      <c r="E4" s="4">
        <f t="shared" si="1"/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5" t="s">
        <v>11</v>
      </c>
      <c r="B5" s="6"/>
      <c r="C5" s="6"/>
      <c r="D5" s="7"/>
      <c r="E5" s="8">
        <f>SUM(E2:E4)</f>
        <v>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" t="s">
        <v>12</v>
      </c>
      <c r="B7" s="1" t="s">
        <v>13</v>
      </c>
      <c r="C7" s="1" t="s">
        <v>1</v>
      </c>
      <c r="D7" s="1" t="s">
        <v>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4" t="s">
        <v>14</v>
      </c>
      <c r="B8" s="3">
        <v>6.0</v>
      </c>
      <c r="C8" s="4" t="s">
        <v>8</v>
      </c>
      <c r="D8" s="4">
        <v>10.0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4" t="s">
        <v>15</v>
      </c>
      <c r="B9" s="3">
        <v>6.0</v>
      </c>
      <c r="C9" s="3" t="s">
        <v>8</v>
      </c>
      <c r="D9" s="3">
        <v>10.0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4" t="s">
        <v>16</v>
      </c>
      <c r="B10" s="3">
        <v>3.0</v>
      </c>
      <c r="C10" s="3" t="s">
        <v>10</v>
      </c>
      <c r="D10" s="3">
        <v>5.0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4" t="s">
        <v>17</v>
      </c>
      <c r="B11" s="3">
        <v>4.0</v>
      </c>
      <c r="C11" s="3" t="s">
        <v>8</v>
      </c>
      <c r="D11" s="3">
        <v>10.0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4" t="s">
        <v>18</v>
      </c>
      <c r="B12" s="3">
        <v>5.0</v>
      </c>
      <c r="C12" s="3" t="s">
        <v>8</v>
      </c>
      <c r="D12" s="3">
        <v>10.0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4" t="s">
        <v>19</v>
      </c>
      <c r="B13" s="3">
        <v>4.0</v>
      </c>
      <c r="C13" s="3" t="s">
        <v>8</v>
      </c>
      <c r="D13" s="3">
        <v>10.0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4" t="s">
        <v>20</v>
      </c>
      <c r="B14" s="3">
        <v>5.0</v>
      </c>
      <c r="C14" s="3" t="s">
        <v>8</v>
      </c>
      <c r="D14" s="3">
        <v>10.0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4" t="s">
        <v>21</v>
      </c>
      <c r="B15" s="3">
        <v>4.0</v>
      </c>
      <c r="C15" s="3" t="s">
        <v>8</v>
      </c>
      <c r="D15" s="3">
        <v>10.0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4" t="s">
        <v>22</v>
      </c>
      <c r="B16" s="3">
        <v>3.0</v>
      </c>
      <c r="C16" s="3" t="s">
        <v>10</v>
      </c>
      <c r="D16" s="3">
        <v>5.0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4" t="s">
        <v>23</v>
      </c>
      <c r="B17" s="4">
        <v>5.0</v>
      </c>
      <c r="C17" s="4" t="s">
        <v>8</v>
      </c>
      <c r="D17" s="4">
        <v>10.0</v>
      </c>
      <c r="E17" s="2"/>
      <c r="F17" s="9" t="s">
        <v>24</v>
      </c>
      <c r="G17" s="10">
        <f>(E5+D18)*E34*E45</f>
        <v>84.3552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5" t="s">
        <v>25</v>
      </c>
      <c r="B18" s="6"/>
      <c r="C18" s="7"/>
      <c r="D18" s="8">
        <f>SUM(D8:D17)</f>
        <v>90</v>
      </c>
      <c r="E18" s="2"/>
      <c r="F18" s="11" t="s">
        <v>26</v>
      </c>
      <c r="G18" s="12">
        <f>G17*20</f>
        <v>1687.104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" t="s">
        <v>27</v>
      </c>
      <c r="B20" s="1" t="s">
        <v>28</v>
      </c>
      <c r="C20" s="1" t="s">
        <v>2</v>
      </c>
      <c r="D20" s="1" t="s">
        <v>29</v>
      </c>
      <c r="E20" s="1" t="s">
        <v>30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4" t="s">
        <v>31</v>
      </c>
      <c r="B21" s="4" t="s">
        <v>32</v>
      </c>
      <c r="C21" s="3">
        <v>2.0</v>
      </c>
      <c r="D21" s="3">
        <v>1.0</v>
      </c>
      <c r="E21" s="4">
        <f t="shared" ref="E21:E33" si="2">C21*D21</f>
        <v>2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4" t="s">
        <v>33</v>
      </c>
      <c r="B22" s="4" t="s">
        <v>34</v>
      </c>
      <c r="C22" s="4">
        <v>1.0</v>
      </c>
      <c r="D22" s="3">
        <v>2.0</v>
      </c>
      <c r="E22" s="4">
        <f t="shared" si="2"/>
        <v>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4" t="s">
        <v>35</v>
      </c>
      <c r="B23" s="4" t="s">
        <v>36</v>
      </c>
      <c r="C23" s="4">
        <v>1.0</v>
      </c>
      <c r="D23" s="3">
        <v>2.0</v>
      </c>
      <c r="E23" s="4">
        <f t="shared" si="2"/>
        <v>2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4" t="s">
        <v>37</v>
      </c>
      <c r="B24" s="4" t="s">
        <v>38</v>
      </c>
      <c r="C24" s="4">
        <v>1.0</v>
      </c>
      <c r="D24" s="4">
        <v>3.0</v>
      </c>
      <c r="E24" s="4">
        <f t="shared" si="2"/>
        <v>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4" t="s">
        <v>39</v>
      </c>
      <c r="B25" s="4" t="s">
        <v>40</v>
      </c>
      <c r="C25" s="4">
        <v>1.0</v>
      </c>
      <c r="D25" s="3">
        <v>2.0</v>
      </c>
      <c r="E25" s="4">
        <f t="shared" si="2"/>
        <v>2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4" t="s">
        <v>41</v>
      </c>
      <c r="B26" s="4" t="s">
        <v>42</v>
      </c>
      <c r="C26" s="4">
        <v>0.5</v>
      </c>
      <c r="D26" s="3">
        <v>1.0</v>
      </c>
      <c r="E26" s="4">
        <f t="shared" si="2"/>
        <v>0.5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4" t="s">
        <v>43</v>
      </c>
      <c r="B27" s="4" t="s">
        <v>44</v>
      </c>
      <c r="C27" s="4">
        <v>0.5</v>
      </c>
      <c r="D27" s="3">
        <v>3.0</v>
      </c>
      <c r="E27" s="4">
        <f t="shared" si="2"/>
        <v>1.5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4" t="s">
        <v>45</v>
      </c>
      <c r="B28" s="4" t="s">
        <v>46</v>
      </c>
      <c r="C28" s="4">
        <v>2.0</v>
      </c>
      <c r="D28" s="3">
        <v>1.0</v>
      </c>
      <c r="E28" s="4">
        <f t="shared" si="2"/>
        <v>2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4" t="s">
        <v>47</v>
      </c>
      <c r="B29" s="4" t="s">
        <v>48</v>
      </c>
      <c r="C29" s="4">
        <v>1.0</v>
      </c>
      <c r="D29" s="4">
        <v>3.0</v>
      </c>
      <c r="E29" s="4">
        <f t="shared" si="2"/>
        <v>3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4" t="s">
        <v>49</v>
      </c>
      <c r="B30" s="4" t="s">
        <v>50</v>
      </c>
      <c r="C30" s="4">
        <v>1.0</v>
      </c>
      <c r="D30" s="3">
        <v>2.0</v>
      </c>
      <c r="E30" s="4">
        <f t="shared" si="2"/>
        <v>2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4" t="s">
        <v>51</v>
      </c>
      <c r="B31" s="4" t="s">
        <v>52</v>
      </c>
      <c r="C31" s="4">
        <v>1.0</v>
      </c>
      <c r="D31" s="3">
        <v>3.0</v>
      </c>
      <c r="E31" s="4">
        <f t="shared" si="2"/>
        <v>3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4" t="s">
        <v>53</v>
      </c>
      <c r="B32" s="4" t="s">
        <v>54</v>
      </c>
      <c r="C32" s="4">
        <v>1.0</v>
      </c>
      <c r="D32" s="3">
        <v>3.0</v>
      </c>
      <c r="E32" s="4">
        <f t="shared" si="2"/>
        <v>3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4" t="s">
        <v>55</v>
      </c>
      <c r="B33" s="4" t="s">
        <v>56</v>
      </c>
      <c r="C33" s="4">
        <v>1.0</v>
      </c>
      <c r="D33" s="3">
        <v>1.0</v>
      </c>
      <c r="E33" s="4">
        <f t="shared" si="2"/>
        <v>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5" t="s">
        <v>57</v>
      </c>
      <c r="B34" s="6"/>
      <c r="C34" s="6"/>
      <c r="D34" s="7"/>
      <c r="E34" s="8">
        <f>0.6 + SUM(E21:E33)/100</f>
        <v>0.87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" t="s">
        <v>27</v>
      </c>
      <c r="B36" s="1" t="s">
        <v>28</v>
      </c>
      <c r="C36" s="1" t="s">
        <v>2</v>
      </c>
      <c r="D36" s="1" t="s">
        <v>29</v>
      </c>
      <c r="E36" s="1" t="s">
        <v>30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4" t="s">
        <v>58</v>
      </c>
      <c r="B37" s="3" t="s">
        <v>59</v>
      </c>
      <c r="C37" s="4">
        <v>1.5</v>
      </c>
      <c r="D37" s="3">
        <v>2.0</v>
      </c>
      <c r="E37" s="4">
        <f t="shared" ref="E37:E44" si="3">C37*D37</f>
        <v>3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4" t="s">
        <v>60</v>
      </c>
      <c r="B38" s="3" t="s">
        <v>61</v>
      </c>
      <c r="C38" s="4">
        <v>0.5</v>
      </c>
      <c r="D38" s="4">
        <v>3.0</v>
      </c>
      <c r="E38" s="4">
        <f t="shared" si="3"/>
        <v>1.5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4" t="s">
        <v>62</v>
      </c>
      <c r="B39" s="3" t="s">
        <v>63</v>
      </c>
      <c r="C39" s="4">
        <v>1.0</v>
      </c>
      <c r="D39" s="3">
        <v>3.0</v>
      </c>
      <c r="E39" s="4">
        <f t="shared" si="3"/>
        <v>3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4" t="s">
        <v>64</v>
      </c>
      <c r="B40" s="3" t="s">
        <v>65</v>
      </c>
      <c r="C40" s="4">
        <v>0.5</v>
      </c>
      <c r="D40" s="3">
        <v>3.0</v>
      </c>
      <c r="E40" s="4">
        <f t="shared" si="3"/>
        <v>1.5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4" t="s">
        <v>66</v>
      </c>
      <c r="B41" s="3" t="s">
        <v>67</v>
      </c>
      <c r="C41" s="4">
        <v>1.0</v>
      </c>
      <c r="D41" s="3">
        <v>4.0</v>
      </c>
      <c r="E41" s="4">
        <f t="shared" si="3"/>
        <v>4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4" t="s">
        <v>68</v>
      </c>
      <c r="B42" s="3" t="s">
        <v>69</v>
      </c>
      <c r="C42" s="4">
        <v>2.0</v>
      </c>
      <c r="D42" s="4">
        <v>2.0</v>
      </c>
      <c r="E42" s="4">
        <f t="shared" si="3"/>
        <v>4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4" t="s">
        <v>70</v>
      </c>
      <c r="B43" s="3" t="s">
        <v>71</v>
      </c>
      <c r="C43" s="4">
        <v>-1.0</v>
      </c>
      <c r="D43" s="3">
        <v>3.0</v>
      </c>
      <c r="E43" s="4">
        <f t="shared" si="3"/>
        <v>-3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4" t="s">
        <v>72</v>
      </c>
      <c r="B44" s="3" t="s">
        <v>73</v>
      </c>
      <c r="C44" s="4">
        <v>-1.0</v>
      </c>
      <c r="D44" s="4">
        <v>1.0</v>
      </c>
      <c r="E44" s="4">
        <f t="shared" si="3"/>
        <v>-1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5" t="s">
        <v>74</v>
      </c>
      <c r="B45" s="6"/>
      <c r="C45" s="6"/>
      <c r="D45" s="7"/>
      <c r="E45" s="8">
        <f>1.4 + SUM(E37:E44)*(-0.03)</f>
        <v>1.01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1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4">
    <mergeCell ref="A5:D5"/>
    <mergeCell ref="A18:C18"/>
    <mergeCell ref="A34:D34"/>
    <mergeCell ref="A45:D45"/>
  </mergeCells>
  <dataValidations>
    <dataValidation type="list" allowBlank="1" showErrorMessage="1" sqref="C8:C17">
      <formula1>"Average,Simple,Complex"</formula1>
    </dataValidation>
    <dataValidation type="list" allowBlank="1" showErrorMessage="1" sqref="B2">
      <formula1>"Complex,Simple,Average"</formula1>
    </dataValidation>
    <dataValidation type="list" allowBlank="1" showErrorMessage="1" sqref="B3:B4">
      <formula1>"Complex,Simple,Average"</formula1>
    </dataValidation>
  </dataValidations>
  <drawing r:id="rId1"/>
</worksheet>
</file>