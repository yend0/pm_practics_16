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<sst xmlns="http://schemas.openxmlformats.org/spreadsheetml/2006/main" count="133" uniqueCount="86">
  <si>
    <t>Use Case</t>
  </si>
  <si>
    <t>Подпункты</t>
  </si>
  <si>
    <t>Тип операции</t>
  </si>
  <si>
    <t>Кол-во</t>
  </si>
  <si>
    <t>E(entry) - ввод данных пользователем</t>
  </si>
  <si>
    <t>UC1: Импорт каталога поставщика</t>
  </si>
  <si>
    <t>X(exit) - вывод данных системой</t>
  </si>
  <si>
    <t>Загрузка файла / указание URL каталога</t>
  </si>
  <si>
    <t>E</t>
  </si>
  <si>
    <t>R(read) - чтение данных системой</t>
  </si>
  <si>
    <t>Чтение данных каталога</t>
  </si>
  <si>
    <t>R</t>
  </si>
  <si>
    <t>W(write) - запись данных системой</t>
  </si>
  <si>
    <t>Валидация данных по справочникам</t>
  </si>
  <si>
    <t>Сохранение каталога в БД</t>
  </si>
  <si>
    <t>W</t>
  </si>
  <si>
    <t>Обновление индексов и связей</t>
  </si>
  <si>
    <t>R + W</t>
  </si>
  <si>
    <t>Формирование и отображение отчёта</t>
  </si>
  <si>
    <t>R+X</t>
  </si>
  <si>
    <t>Итог по UC1:</t>
  </si>
  <si>
    <t>UC2: Автоматическое обновление каталога (парсинг)</t>
  </si>
  <si>
    <t>Запуск обновления по расписанию</t>
  </si>
  <si>
    <t>Чтение конфигурации источника</t>
  </si>
  <si>
    <t>Получение новых данных</t>
  </si>
  <si>
    <t>Сравнение с текущими данными</t>
  </si>
  <si>
    <t>Сохранение изменений</t>
  </si>
  <si>
    <t>Запись лога и уведомление</t>
  </si>
  <si>
    <t>W+X</t>
  </si>
  <si>
    <t>Итог по UC2:</t>
  </si>
  <si>
    <t>UC3: Поиск автозапчастей по VIN или артикулу</t>
  </si>
  <si>
    <t>Ввод VIN / артикула</t>
  </si>
  <si>
    <t>Чтение каталога запчастей</t>
  </si>
  <si>
    <t>Чтение кросс-референсов</t>
  </si>
  <si>
    <t>Применение фильтров поиска</t>
  </si>
  <si>
    <t>Формирование и вывод результатов</t>
  </si>
  <si>
    <t>Итог по UC3:</t>
  </si>
  <si>
    <t>UC4: Сравнение предложений разных поставщиков</t>
  </si>
  <si>
    <t>Выбор предложений для сравнения</t>
  </si>
  <si>
    <t>Чтение данных предложений</t>
  </si>
  <si>
    <t>Чтение логистики и рейтингов</t>
  </si>
  <si>
    <t>Расчёт сравнительных показателей</t>
  </si>
  <si>
    <t>Отображение сравнительной таблицы</t>
  </si>
  <si>
    <t>X</t>
  </si>
  <si>
    <t>Итог по UC4:</t>
  </si>
  <si>
    <t>UC5: Формирование коммерческого предложения (КП)</t>
  </si>
  <si>
    <t>Выбор позиций для КП</t>
  </si>
  <si>
    <t>Чтение цен и остатков</t>
  </si>
  <si>
    <t>Расчёт итоговых условий</t>
  </si>
  <si>
    <t>Сохранение коммерческого предложения</t>
  </si>
  <si>
    <t>Генерация и отображение документа</t>
  </si>
  <si>
    <t>Итог по UC5:</t>
  </si>
  <si>
    <t>UC6: Управление поставщиками</t>
  </si>
  <si>
    <t>Ввод / изменение данных поставщика</t>
  </si>
  <si>
    <t>Чтение текущей конфигурации</t>
  </si>
  <si>
    <t>Пересчёт зависимых данных</t>
  </si>
  <si>
    <t>R+W</t>
  </si>
  <si>
    <t>Отображение результата</t>
  </si>
  <si>
    <t>Итог по UC6:</t>
  </si>
  <si>
    <t>UC7: Настройка правил ценообразования</t>
  </si>
  <si>
    <t>Ввод правил ценообразования</t>
  </si>
  <si>
    <t>Чтение данных клиентов</t>
  </si>
  <si>
    <t>Чтение товаров и категорий</t>
  </si>
  <si>
    <t>Сохранение правил</t>
  </si>
  <si>
    <t>Применение правил к ценам</t>
  </si>
  <si>
    <t>Итог по UC7:</t>
  </si>
  <si>
    <t>UC8: Просмотр журнала изменений и ошибок</t>
  </si>
  <si>
    <t>Запрос журнала</t>
  </si>
  <si>
    <t>Чтение логов</t>
  </si>
  <si>
    <t>Фильтрация и сортировка</t>
  </si>
  <si>
    <t>Отображение журнала</t>
  </si>
  <si>
    <t>Итог по UC8:</t>
  </si>
  <si>
    <t>UC9: Уведомления о событиях</t>
  </si>
  <si>
    <t>Фиксация события</t>
  </si>
  <si>
    <t>Чтение настроек уведомлений</t>
  </si>
  <si>
    <t>Формирование сообщения</t>
  </si>
  <si>
    <t>Отправка уведомления</t>
  </si>
  <si>
    <t>Запись статуса доставки</t>
  </si>
  <si>
    <t>Итог по UC9:</t>
  </si>
  <si>
    <t>UC10: Управление правами доступа</t>
  </si>
  <si>
    <t>Ввод изменений ролей</t>
  </si>
  <si>
    <t>Чтение текущих ролей и прав</t>
  </si>
  <si>
    <t>Сохранение прав доступа</t>
  </si>
  <si>
    <t>Обновление активных сессий</t>
  </si>
  <si>
    <t>Итог по UC10:</t>
  </si>
  <si>
    <t>ИТОГ по проекту: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</si>
</sst>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Comic Sans MS"/>
    </font>
    <font>
      <color theme="1"/>
      <name val="Comic Sans MS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3" fontId="1" numFmtId="0" xfId="0" applyBorder="1" applyFill="1" applyFont="1"/>
    <xf borderId="1" fillId="3" fontId="1" numFmtId="0" xfId="0" applyBorder="1" applyFont="1"/>
    <xf borderId="2" fillId="4" fontId="1" numFmtId="0" xfId="0" applyBorder="1" applyFill="1" applyFont="1"/>
    <xf borderId="1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47.88"/>
    <col customWidth="1" min="3" max="3" width="30.38"/>
    <col customWidth="1" min="4" max="4" width="46.8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5" t="s">
        <v>5</v>
      </c>
      <c r="B2" s="6"/>
      <c r="C2" s="6"/>
      <c r="D2" s="7"/>
      <c r="E2" s="2"/>
      <c r="F2" s="3" t="s">
        <v>6</v>
      </c>
      <c r="G2" s="4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8"/>
      <c r="B3" s="9" t="s">
        <v>7</v>
      </c>
      <c r="C3" s="8" t="s">
        <v>8</v>
      </c>
      <c r="D3" s="8">
        <v>1.0</v>
      </c>
      <c r="E3" s="2"/>
      <c r="F3" s="3" t="s">
        <v>9</v>
      </c>
      <c r="G3" s="4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8"/>
      <c r="B4" s="9" t="s">
        <v>10</v>
      </c>
      <c r="C4" s="8" t="s">
        <v>11</v>
      </c>
      <c r="D4" s="8">
        <v>1.0</v>
      </c>
      <c r="E4" s="2"/>
      <c r="F4" s="3" t="s">
        <v>12</v>
      </c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8"/>
      <c r="B5" s="9" t="s">
        <v>13</v>
      </c>
      <c r="C5" s="9" t="s">
        <v>11</v>
      </c>
      <c r="D5" s="8">
        <v>1.0</v>
      </c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/>
      <c r="B6" s="9" t="s">
        <v>14</v>
      </c>
      <c r="C6" s="9" t="s">
        <v>15</v>
      </c>
      <c r="D6" s="8">
        <v>1.0</v>
      </c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/>
      <c r="B7" s="9" t="s">
        <v>16</v>
      </c>
      <c r="C7" s="9" t="s">
        <v>17</v>
      </c>
      <c r="D7" s="9">
        <v>2.0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/>
      <c r="B8" s="9" t="s">
        <v>18</v>
      </c>
      <c r="C8" s="9" t="s">
        <v>19</v>
      </c>
      <c r="D8" s="9">
        <v>2.0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0" t="s">
        <v>20</v>
      </c>
      <c r="B9" s="6"/>
      <c r="C9" s="7"/>
      <c r="D9" s="11">
        <f>SUM(D3:D8)</f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 t="s">
        <v>21</v>
      </c>
      <c r="B10" s="6"/>
      <c r="C10" s="6"/>
      <c r="D10" s="7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/>
      <c r="B11" s="9" t="s">
        <v>22</v>
      </c>
      <c r="C11" s="8" t="s">
        <v>8</v>
      </c>
      <c r="D11" s="8">
        <v>1.0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8"/>
      <c r="B12" s="9" t="s">
        <v>23</v>
      </c>
      <c r="C12" s="9" t="s">
        <v>11</v>
      </c>
      <c r="D12" s="8">
        <v>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8"/>
      <c r="B13" s="9" t="s">
        <v>24</v>
      </c>
      <c r="C13" s="9" t="s">
        <v>11</v>
      </c>
      <c r="D13" s="9">
        <v>1.0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8"/>
      <c r="B14" s="9" t="s">
        <v>25</v>
      </c>
      <c r="C14" s="9" t="s">
        <v>11</v>
      </c>
      <c r="D14" s="9">
        <v>1.0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8"/>
      <c r="B15" s="9" t="s">
        <v>26</v>
      </c>
      <c r="C15" s="9" t="s">
        <v>15</v>
      </c>
      <c r="D15" s="9">
        <v>1.0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8"/>
      <c r="B16" s="9" t="s">
        <v>27</v>
      </c>
      <c r="C16" s="9" t="s">
        <v>28</v>
      </c>
      <c r="D16" s="9">
        <v>2.0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0" t="s">
        <v>29</v>
      </c>
      <c r="B17" s="6"/>
      <c r="C17" s="7"/>
      <c r="D17" s="11">
        <f>SUM(D11:D16)</f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 t="s">
        <v>30</v>
      </c>
      <c r="B18" s="6"/>
      <c r="C18" s="6"/>
      <c r="D18" s="7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8"/>
      <c r="B19" s="9" t="s">
        <v>31</v>
      </c>
      <c r="C19" s="8" t="s">
        <v>8</v>
      </c>
      <c r="D19" s="8">
        <v>1.0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8"/>
      <c r="B20" s="9" t="s">
        <v>32</v>
      </c>
      <c r="C20" s="8" t="s">
        <v>11</v>
      </c>
      <c r="D20" s="8">
        <v>1.0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/>
      <c r="B21" s="9" t="s">
        <v>33</v>
      </c>
      <c r="C21" s="9" t="s">
        <v>11</v>
      </c>
      <c r="D21" s="8">
        <v>1.0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/>
      <c r="B22" s="9" t="s">
        <v>34</v>
      </c>
      <c r="C22" s="9" t="s">
        <v>11</v>
      </c>
      <c r="D22" s="8">
        <v>1.0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/>
      <c r="B23" s="9" t="s">
        <v>35</v>
      </c>
      <c r="C23" s="9" t="s">
        <v>19</v>
      </c>
      <c r="D23" s="9">
        <v>2.0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 t="s">
        <v>36</v>
      </c>
      <c r="B24" s="6"/>
      <c r="C24" s="7"/>
      <c r="D24" s="11">
        <f>SUM(D19:D23)</f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37</v>
      </c>
      <c r="B25" s="6"/>
      <c r="C25" s="6"/>
      <c r="D25" s="7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/>
      <c r="B26" s="9" t="s">
        <v>38</v>
      </c>
      <c r="C26" s="9" t="s">
        <v>8</v>
      </c>
      <c r="D26" s="8">
        <v>1.0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/>
      <c r="B27" s="9" t="s">
        <v>39</v>
      </c>
      <c r="C27" s="9" t="s">
        <v>11</v>
      </c>
      <c r="D27" s="8">
        <v>1.0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/>
      <c r="B28" s="9" t="s">
        <v>40</v>
      </c>
      <c r="C28" s="9" t="s">
        <v>11</v>
      </c>
      <c r="D28" s="8">
        <v>1.0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/>
      <c r="B29" s="9" t="s">
        <v>41</v>
      </c>
      <c r="C29" s="9" t="s">
        <v>11</v>
      </c>
      <c r="D29" s="8">
        <v>1.0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/>
      <c r="B30" s="9" t="s">
        <v>42</v>
      </c>
      <c r="C30" s="9" t="s">
        <v>43</v>
      </c>
      <c r="D30" s="9">
        <v>1.0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 t="s">
        <v>44</v>
      </c>
      <c r="B31" s="6"/>
      <c r="C31" s="7"/>
      <c r="D31" s="11">
        <f>SUM(D26:D30)</f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45</v>
      </c>
      <c r="B32" s="6"/>
      <c r="C32" s="6"/>
      <c r="D32" s="7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/>
      <c r="B33" s="9" t="s">
        <v>46</v>
      </c>
      <c r="C33" s="8" t="s">
        <v>8</v>
      </c>
      <c r="D33" s="8">
        <v>1.0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/>
      <c r="B34" s="9" t="s">
        <v>47</v>
      </c>
      <c r="C34" s="8" t="s">
        <v>11</v>
      </c>
      <c r="D34" s="8">
        <v>1.0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/>
      <c r="B35" s="9" t="s">
        <v>48</v>
      </c>
      <c r="C35" s="8" t="s">
        <v>11</v>
      </c>
      <c r="D35" s="8">
        <v>1.0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/>
      <c r="B36" s="9" t="s">
        <v>49</v>
      </c>
      <c r="C36" s="9" t="s">
        <v>15</v>
      </c>
      <c r="D36" s="9">
        <v>1.0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"/>
      <c r="B37" s="9" t="s">
        <v>50</v>
      </c>
      <c r="C37" s="9" t="s">
        <v>19</v>
      </c>
      <c r="D37" s="8">
        <v>2.0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0" t="s">
        <v>51</v>
      </c>
      <c r="B38" s="6"/>
      <c r="C38" s="7"/>
      <c r="D38" s="11">
        <f>SUM(D33:D37)</f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 t="s">
        <v>52</v>
      </c>
      <c r="B39" s="6"/>
      <c r="C39" s="6"/>
      <c r="D39" s="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/>
      <c r="B40" s="9" t="s">
        <v>53</v>
      </c>
      <c r="C40" s="9" t="s">
        <v>8</v>
      </c>
      <c r="D40" s="9">
        <v>1.0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/>
      <c r="B41" s="9" t="s">
        <v>54</v>
      </c>
      <c r="C41" s="9" t="s">
        <v>11</v>
      </c>
      <c r="D41" s="8">
        <v>1.0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/>
      <c r="B42" s="9" t="s">
        <v>26</v>
      </c>
      <c r="C42" s="9" t="s">
        <v>15</v>
      </c>
      <c r="D42" s="9">
        <v>1.0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/>
      <c r="B43" s="9" t="s">
        <v>55</v>
      </c>
      <c r="C43" s="9" t="s">
        <v>56</v>
      </c>
      <c r="D43" s="9">
        <v>2.0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/>
      <c r="B44" s="9" t="s">
        <v>57</v>
      </c>
      <c r="C44" s="9" t="s">
        <v>43</v>
      </c>
      <c r="D44" s="9">
        <v>1.0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0" t="s">
        <v>58</v>
      </c>
      <c r="B45" s="6"/>
      <c r="C45" s="7"/>
      <c r="D45" s="11">
        <f>SUM(D40:D44)</f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 t="s">
        <v>59</v>
      </c>
      <c r="B46" s="6"/>
      <c r="C46" s="6"/>
      <c r="D46" s="7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/>
      <c r="B47" s="9" t="s">
        <v>60</v>
      </c>
      <c r="C47" s="8" t="s">
        <v>8</v>
      </c>
      <c r="D47" s="8">
        <v>1.0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/>
      <c r="B48" s="9" t="s">
        <v>61</v>
      </c>
      <c r="C48" s="8" t="s">
        <v>11</v>
      </c>
      <c r="D48" s="8">
        <v>1.0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/>
      <c r="B49" s="9" t="s">
        <v>62</v>
      </c>
      <c r="C49" s="8" t="s">
        <v>11</v>
      </c>
      <c r="D49" s="8">
        <v>1.0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8"/>
      <c r="B50" s="9" t="s">
        <v>63</v>
      </c>
      <c r="C50" s="9" t="s">
        <v>15</v>
      </c>
      <c r="D50" s="8">
        <v>1.0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8"/>
      <c r="B51" s="9" t="s">
        <v>64</v>
      </c>
      <c r="C51" s="9" t="s">
        <v>56</v>
      </c>
      <c r="D51" s="9">
        <v>2.0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8"/>
      <c r="B52" s="9" t="s">
        <v>57</v>
      </c>
      <c r="C52" s="9" t="s">
        <v>43</v>
      </c>
      <c r="D52" s="9">
        <v>1.0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0" t="s">
        <v>65</v>
      </c>
      <c r="B53" s="6"/>
      <c r="C53" s="7"/>
      <c r="D53" s="11">
        <f>SUM(D47:D52)</f>
        <v>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 t="s">
        <v>66</v>
      </c>
      <c r="B54" s="6"/>
      <c r="C54" s="6"/>
      <c r="D54" s="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8"/>
      <c r="B55" s="9" t="s">
        <v>67</v>
      </c>
      <c r="C55" s="8" t="s">
        <v>8</v>
      </c>
      <c r="D55" s="8">
        <v>1.0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/>
      <c r="B56" s="9" t="s">
        <v>68</v>
      </c>
      <c r="C56" s="8" t="s">
        <v>11</v>
      </c>
      <c r="D56" s="8">
        <v>1.0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/>
      <c r="B57" s="9" t="s">
        <v>69</v>
      </c>
      <c r="C57" s="9" t="s">
        <v>11</v>
      </c>
      <c r="D57" s="8">
        <v>1.0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/>
      <c r="B58" s="9" t="s">
        <v>70</v>
      </c>
      <c r="C58" s="9" t="s">
        <v>43</v>
      </c>
      <c r="D58" s="9">
        <v>1.0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0" t="s">
        <v>71</v>
      </c>
      <c r="B59" s="6"/>
      <c r="C59" s="7"/>
      <c r="D59" s="11">
        <f>SUM(D55:D58)</f>
        <v>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 t="s">
        <v>72</v>
      </c>
      <c r="B60" s="6"/>
      <c r="C60" s="6"/>
      <c r="D60" s="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8"/>
      <c r="B61" s="9" t="s">
        <v>73</v>
      </c>
      <c r="C61" s="8" t="s">
        <v>8</v>
      </c>
      <c r="D61" s="8">
        <v>1.0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"/>
      <c r="B62" s="9" t="s">
        <v>74</v>
      </c>
      <c r="C62" s="9" t="s">
        <v>11</v>
      </c>
      <c r="D62" s="9">
        <v>1.0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/>
      <c r="B63" s="9" t="s">
        <v>75</v>
      </c>
      <c r="C63" s="9" t="s">
        <v>11</v>
      </c>
      <c r="D63" s="9">
        <v>1.0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/>
      <c r="B64" s="9" t="s">
        <v>76</v>
      </c>
      <c r="C64" s="9" t="s">
        <v>43</v>
      </c>
      <c r="D64" s="8">
        <v>1.0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"/>
      <c r="B65" s="9" t="s">
        <v>77</v>
      </c>
      <c r="C65" s="9" t="s">
        <v>15</v>
      </c>
      <c r="D65" s="9">
        <v>1.0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0" t="s">
        <v>78</v>
      </c>
      <c r="B66" s="6"/>
      <c r="C66" s="7"/>
      <c r="D66" s="11">
        <f>SUM(D61:D65)</f>
        <v>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 t="s">
        <v>79</v>
      </c>
      <c r="B67" s="6"/>
      <c r="C67" s="6"/>
      <c r="D67" s="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8"/>
      <c r="B68" s="9" t="s">
        <v>80</v>
      </c>
      <c r="C68" s="9" t="s">
        <v>8</v>
      </c>
      <c r="D68" s="8">
        <v>1.0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8"/>
      <c r="B69" s="9" t="s">
        <v>81</v>
      </c>
      <c r="C69" s="9" t="s">
        <v>11</v>
      </c>
      <c r="D69" s="8">
        <v>1.0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8"/>
      <c r="B70" s="9" t="s">
        <v>82</v>
      </c>
      <c r="C70" s="9" t="s">
        <v>15</v>
      </c>
      <c r="D70" s="8">
        <v>1.0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"/>
      <c r="B71" s="9" t="s">
        <v>83</v>
      </c>
      <c r="C71" s="9" t="s">
        <v>56</v>
      </c>
      <c r="D71" s="9">
        <v>2.0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8"/>
      <c r="B72" s="9" t="s">
        <v>57</v>
      </c>
      <c r="C72" s="9" t="s">
        <v>43</v>
      </c>
      <c r="D72" s="8">
        <v>1.0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0" t="s">
        <v>84</v>
      </c>
      <c r="B73" s="6"/>
      <c r="C73" s="7"/>
      <c r="D73" s="11">
        <f>SUM(D68:D72)</f>
        <v>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2" t="s">
        <v>85</v>
      </c>
      <c r="B74" s="6"/>
      <c r="C74" s="7"/>
      <c r="D74" s="13">
        <f>SUM(D9,D17,D24,D31,D38,D45,D53,D59,D66,A73,D73)</f>
        <v>60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1">
    <mergeCell ref="A67:D67"/>
    <mergeCell ref="A73:C73"/>
    <mergeCell ref="A2:D2"/>
    <mergeCell ref="A9:C9"/>
    <mergeCell ref="A10:D10"/>
    <mergeCell ref="A17:C17"/>
    <mergeCell ref="A18:D18"/>
    <mergeCell ref="A54:D54"/>
    <mergeCell ref="A24:C24"/>
    <mergeCell ref="A25:D25"/>
    <mergeCell ref="A31:C31"/>
    <mergeCell ref="A32:D32"/>
    <mergeCell ref="A38:C38"/>
    <mergeCell ref="A39:D39"/>
    <mergeCell ref="A45:C45"/>
    <mergeCell ref="A46:D46"/>
    <mergeCell ref="A53:C53"/>
    <mergeCell ref="A59:C59"/>
    <mergeCell ref="A60:D60"/>
    <mergeCell ref="A66:C66"/>
    <mergeCell ref="A74:C74"/>
  </mergeCells>
  <dataValidations>
    <dataValidation type="list" allowBlank="1" showErrorMessage="1" sqref="C3:C6 C8 C11:C16 C19:C23 C26:C30 C33:C37 C40:C44 C47:C52 C55:C58 C61:C65 C68:C72">
      <formula1>"E,R,X,W,R+X,E+W,E+R,R+W,W+X,R+W"</formula1>
    </dataValidation>
    <dataValidation type="list" allowBlank="1" showErrorMessage="1" sqref="C7">
      <formula1>"E,R,X,W,R+X,E+W,E+R,R + W"</formula1>
    </dataValidation>
  </dataValidations>
  <drawing r:id="rId1"/>
</worksheet>
</file>