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ya\Desktop\"/>
    </mc:Choice>
  </mc:AlternateContent>
  <bookViews>
    <workbookView xWindow="0" yWindow="0" windowWidth="28800" windowHeight="12435"/>
  </bookViews>
  <sheets>
    <sheet name="Лист1" sheetId="1" r:id="rId1"/>
  </sheets>
  <calcPr calcId="152511"/>
</workbook>
</file>

<file path=xl/calcChain.xml><?xml version="1.0" encoding="utf-8"?>
<calcChain xmlns="http://schemas.openxmlformats.org/spreadsheetml/2006/main">
  <c r="H90" i="1" l="1"/>
  <c r="K90" i="1"/>
  <c r="F90" i="1"/>
  <c r="F103" i="1"/>
  <c r="F104" i="1"/>
  <c r="G104" i="1"/>
  <c r="G105" i="1"/>
  <c r="G106" i="1"/>
  <c r="B116" i="1"/>
  <c r="P91" i="1"/>
  <c r="P92" i="1"/>
  <c r="P93" i="1"/>
  <c r="P90" i="1"/>
  <c r="O91" i="1"/>
  <c r="O92" i="1"/>
  <c r="O93" i="1"/>
  <c r="O90" i="1"/>
  <c r="N91" i="1"/>
  <c r="N92" i="1"/>
  <c r="N93" i="1"/>
  <c r="N90" i="1"/>
  <c r="M91" i="1"/>
  <c r="M92" i="1"/>
  <c r="M93" i="1"/>
  <c r="M90" i="1"/>
  <c r="L90" i="1"/>
  <c r="G90" i="1"/>
  <c r="L91" i="1"/>
  <c r="L92" i="1"/>
  <c r="L93" i="1"/>
  <c r="K92" i="1"/>
  <c r="K91" i="1"/>
  <c r="K93" i="1"/>
  <c r="E90" i="1"/>
  <c r="B90" i="1"/>
  <c r="B92" i="1"/>
  <c r="J92" i="1"/>
  <c r="D92" i="1"/>
  <c r="D91" i="1"/>
  <c r="D90" i="1"/>
  <c r="C90" i="1"/>
  <c r="C91" i="1"/>
  <c r="C92" i="1"/>
  <c r="C93" i="1"/>
  <c r="D93" i="1"/>
  <c r="B91" i="1"/>
  <c r="B93" i="1"/>
  <c r="H93" i="1"/>
  <c r="I93" i="1"/>
  <c r="J90" i="1"/>
  <c r="I90" i="1"/>
  <c r="H91" i="1"/>
  <c r="P83" i="1" l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P80" i="1"/>
  <c r="O80" i="1"/>
  <c r="N80" i="1"/>
  <c r="P101" i="1" s="1"/>
  <c r="M80" i="1"/>
  <c r="L80" i="1"/>
  <c r="K80" i="1"/>
  <c r="J80" i="1"/>
  <c r="I80" i="1"/>
  <c r="H80" i="1"/>
  <c r="G80" i="1"/>
  <c r="F80" i="1"/>
  <c r="E80" i="1"/>
  <c r="D80" i="1"/>
  <c r="C80" i="1"/>
  <c r="B80" i="1"/>
  <c r="J103" i="1" l="1"/>
  <c r="I92" i="1"/>
  <c r="I103" i="1" s="1"/>
  <c r="M104" i="1"/>
  <c r="H104" i="1"/>
  <c r="N101" i="1"/>
  <c r="O101" i="1"/>
  <c r="P102" i="1"/>
  <c r="G93" i="1"/>
  <c r="J93" i="1"/>
  <c r="J104" i="1" s="1"/>
  <c r="M102" i="1"/>
  <c r="L103" i="1"/>
  <c r="K104" i="1"/>
  <c r="L102" i="1"/>
  <c r="I104" i="1"/>
  <c r="O103" i="1"/>
  <c r="L104" i="1"/>
  <c r="K103" i="1"/>
  <c r="P103" i="1"/>
  <c r="K101" i="1"/>
  <c r="P104" i="1"/>
  <c r="O102" i="1"/>
  <c r="J101" i="1"/>
  <c r="L101" i="1"/>
  <c r="O104" i="1"/>
  <c r="M103" i="1"/>
  <c r="M101" i="1"/>
  <c r="N102" i="1"/>
  <c r="K102" i="1"/>
  <c r="I101" i="1"/>
  <c r="H101" i="1"/>
  <c r="H102" i="1"/>
  <c r="J91" i="1"/>
  <c r="J102" i="1" s="1"/>
  <c r="I91" i="1"/>
  <c r="I102" i="1" s="1"/>
  <c r="H92" i="1"/>
  <c r="H103" i="1" s="1"/>
  <c r="G91" i="1"/>
  <c r="G102" i="1" s="1"/>
  <c r="F101" i="1"/>
  <c r="F91" i="1"/>
  <c r="F102" i="1" s="1"/>
  <c r="E101" i="1"/>
  <c r="G92" i="1"/>
  <c r="G103" i="1" s="1"/>
  <c r="F92" i="1"/>
  <c r="G101" i="1"/>
  <c r="E93" i="1"/>
  <c r="E104" i="1" s="1"/>
  <c r="F93" i="1"/>
  <c r="B104" i="1"/>
  <c r="B101" i="1"/>
  <c r="C102" i="1"/>
  <c r="B102" i="1"/>
  <c r="C103" i="1"/>
  <c r="D101" i="1"/>
  <c r="D104" i="1"/>
  <c r="C104" i="1"/>
  <c r="C101" i="1"/>
  <c r="D102" i="1"/>
  <c r="N103" i="1"/>
  <c r="D103" i="1"/>
  <c r="E92" i="1"/>
  <c r="E103" i="1" s="1"/>
  <c r="E91" i="1"/>
  <c r="E102" i="1" s="1"/>
  <c r="N104" i="1"/>
  <c r="B103" i="1"/>
  <c r="M105" i="1" l="1"/>
  <c r="M106" i="1" s="1"/>
  <c r="L105" i="1"/>
  <c r="L106" i="1" s="1"/>
  <c r="J105" i="1"/>
  <c r="J106" i="1" s="1"/>
  <c r="O105" i="1"/>
  <c r="O106" i="1" s="1"/>
  <c r="K105" i="1"/>
  <c r="K106" i="1" s="1"/>
  <c r="P105" i="1"/>
  <c r="P106" i="1" s="1"/>
  <c r="H105" i="1"/>
  <c r="H106" i="1" s="1"/>
  <c r="I105" i="1"/>
  <c r="I106" i="1" s="1"/>
  <c r="F105" i="1"/>
  <c r="F106" i="1" s="1"/>
  <c r="E105" i="1"/>
  <c r="C105" i="1"/>
  <c r="C106" i="1" s="1"/>
  <c r="B105" i="1"/>
  <c r="D105" i="1"/>
  <c r="N105" i="1"/>
  <c r="N106" i="1" s="1"/>
  <c r="F115" i="1" l="1"/>
  <c r="E114" i="1"/>
  <c r="E115" i="1"/>
  <c r="E116" i="1"/>
  <c r="E113" i="1"/>
  <c r="C115" i="1"/>
  <c r="B113" i="1"/>
  <c r="D115" i="1"/>
  <c r="D116" i="1"/>
  <c r="D114" i="1"/>
  <c r="D113" i="1"/>
  <c r="C114" i="1"/>
  <c r="E106" i="1"/>
  <c r="C122" i="1" s="1"/>
  <c r="C113" i="1"/>
  <c r="C116" i="1"/>
  <c r="G116" i="1" s="1"/>
  <c r="B114" i="1"/>
  <c r="B106" i="1"/>
  <c r="B115" i="1"/>
  <c r="D106" i="1"/>
  <c r="F120" i="1"/>
  <c r="F121" i="1"/>
  <c r="D122" i="1"/>
  <c r="D121" i="1"/>
  <c r="D123" i="1"/>
  <c r="D120" i="1"/>
  <c r="E121" i="1"/>
  <c r="E120" i="1"/>
  <c r="E123" i="1"/>
  <c r="E122" i="1"/>
  <c r="F113" i="1"/>
  <c r="F114" i="1"/>
  <c r="F116" i="1"/>
  <c r="F123" i="1"/>
  <c r="F122" i="1"/>
  <c r="B121" i="1" l="1"/>
  <c r="C121" i="1"/>
  <c r="G115" i="1"/>
  <c r="C120" i="1"/>
  <c r="C123" i="1"/>
  <c r="G114" i="1"/>
  <c r="G113" i="1"/>
  <c r="B120" i="1"/>
  <c r="G120" i="1" s="1"/>
  <c r="B123" i="1"/>
  <c r="G123" i="1" s="1"/>
  <c r="A130" i="1" s="1"/>
  <c r="B122" i="1"/>
  <c r="G122" i="1" s="1"/>
  <c r="G121" i="1" l="1"/>
  <c r="A128" i="1" s="1"/>
  <c r="A127" i="1"/>
  <c r="A129" i="1"/>
</calcChain>
</file>

<file path=xl/sharedStrings.xml><?xml version="1.0" encoding="utf-8"?>
<sst xmlns="http://schemas.openxmlformats.org/spreadsheetml/2006/main" count="311" uniqueCount="68">
  <si>
    <t>Концепции</t>
  </si>
  <si>
    <t>A1</t>
  </si>
  <si>
    <t>LifeTracker</t>
  </si>
  <si>
    <t>Высокий</t>
  </si>
  <si>
    <t>A2</t>
  </si>
  <si>
    <t>KnitWit</t>
  </si>
  <si>
    <t>Средний</t>
  </si>
  <si>
    <t>3, 5, 7</t>
  </si>
  <si>
    <t>A3</t>
  </si>
  <si>
    <t>Shader Generator.Pro</t>
  </si>
  <si>
    <t>Низкий</t>
  </si>
  <si>
    <t>A4</t>
  </si>
  <si>
    <t>Auto Import Catalog</t>
  </si>
  <si>
    <t>Критерии</t>
  </si>
  <si>
    <t>Потенциал прибыли</t>
  </si>
  <si>
    <t>Выгодно</t>
  </si>
  <si>
    <t>Затраты на разработку и поддержку</t>
  </si>
  <si>
    <t>Невыгодно</t>
  </si>
  <si>
    <t>Рыночная привлекательность</t>
  </si>
  <si>
    <t>Сложность реализации</t>
  </si>
  <si>
    <t>Потенциал масштабирования и роста</t>
  </si>
  <si>
    <t>Оценка</t>
  </si>
  <si>
    <t>Проект А1</t>
  </si>
  <si>
    <t>1в</t>
  </si>
  <si>
    <t>2н</t>
  </si>
  <si>
    <t>3в</t>
  </si>
  <si>
    <t>4н</t>
  </si>
  <si>
    <t>5н</t>
  </si>
  <si>
    <t>1 эксперт (Ремезов)</t>
  </si>
  <si>
    <t>2 эксперт (Елисеев)</t>
  </si>
  <si>
    <t>3 эксперт (Павлов)</t>
  </si>
  <si>
    <t>Проект А2</t>
  </si>
  <si>
    <t>Проект А3</t>
  </si>
  <si>
    <t>Проект А4</t>
  </si>
  <si>
    <t>Этап 1</t>
  </si>
  <si>
    <t>Эксперт 1</t>
  </si>
  <si>
    <t>Эксперт 2</t>
  </si>
  <si>
    <t>Эксперт 3</t>
  </si>
  <si>
    <t>Этап 2</t>
  </si>
  <si>
    <t>Веса</t>
  </si>
  <si>
    <t xml:space="preserve">Общая матрица </t>
  </si>
  <si>
    <t>Агреграция значений и добавление весов</t>
  </si>
  <si>
    <t xml:space="preserve">Общая нормализованная матрица </t>
  </si>
  <si>
    <t>Нормализация</t>
  </si>
  <si>
    <t>Этап 3</t>
  </si>
  <si>
    <t xml:space="preserve">Взвешенная общая нормализованная матрица </t>
  </si>
  <si>
    <t>А-</t>
  </si>
  <si>
    <t>Нахождение идеальных решений</t>
  </si>
  <si>
    <t>Этап 4</t>
  </si>
  <si>
    <t>Определение расстояний до идеально-позитивного решения</t>
  </si>
  <si>
    <t>di*</t>
  </si>
  <si>
    <t xml:space="preserve">Расстояние </t>
  </si>
  <si>
    <t>Определение расстояний до идеально-негативного решения</t>
  </si>
  <si>
    <t>Нахождение относительной близости к идеальнопозитивному решению</t>
  </si>
  <si>
    <t>CCi</t>
  </si>
  <si>
    <t>Ранг</t>
  </si>
  <si>
    <t xml:space="preserve">Вывод: </t>
  </si>
  <si>
    <t>Тип</t>
  </si>
  <si>
    <t>benefit</t>
  </si>
  <si>
    <t>cost</t>
  </si>
  <si>
    <t>L</t>
  </si>
  <si>
    <t>M</t>
  </si>
  <si>
    <t>U</t>
  </si>
  <si>
    <t>5, 7, 9</t>
  </si>
  <si>
    <t>1, 2, 5</t>
  </si>
  <si>
    <t>Наибольшую близость к идеальному решению и 1 приоритет имеет проект A4 -  Auto Import Catalog</t>
  </si>
  <si>
    <t>А+</t>
  </si>
  <si>
    <t>где А+ и А- идеальные решения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</si>
</sst>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7" xfId="0" applyBorder="1"/>
    <xf numFmtId="0" fontId="0" fillId="0" borderId="8" xfId="0" applyBorder="1"/>
    <xf numFmtId="0" fontId="0" fillId="0" borderId="0" xfId="0"/>
    <xf numFmtId="0" fontId="0" fillId="0" borderId="8" xfId="0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14" xfId="0" applyBorder="1"/>
    <xf numFmtId="0" fontId="0" fillId="2" borderId="0" xfId="0" applyFill="1" applyAlignment="1">
      <alignment horizontal="right"/>
    </xf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2" fillId="2" borderId="9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13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1" fillId="0" borderId="0" xfId="0" applyFont="1"/>
    <xf numFmtId="0" fontId="1" fillId="0" borderId="15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5" xfId="0" applyFont="1" applyBorder="1"/>
    <xf numFmtId="0" fontId="1" fillId="0" borderId="7" xfId="0" applyFont="1" applyBorder="1"/>
    <xf numFmtId="0" fontId="1" fillId="0" borderId="0" xfId="0" applyFont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5" borderId="0" xfId="0" applyFill="1"/>
    <xf numFmtId="0" fontId="0" fillId="5" borderId="10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2" fillId="4" borderId="0" xfId="0" applyFont="1" applyFill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0" fillId="4" borderId="0" xfId="0" applyFill="1"/>
    <xf numFmtId="0" fontId="2" fillId="2" borderId="14" xfId="0" applyFont="1" applyFill="1" applyBorder="1" applyAlignment="1">
      <alignment horizontal="right"/>
    </xf>
    <xf numFmtId="0" fontId="2" fillId="3" borderId="14" xfId="0" applyFont="1" applyFill="1" applyBorder="1" applyAlignment="1">
      <alignment horizontal="right"/>
    </xf>
    <xf numFmtId="0" fontId="2" fillId="5" borderId="18" xfId="0" applyFont="1" applyFill="1" applyBorder="1"/>
    <xf numFmtId="49" fontId="1" fillId="0" borderId="14" xfId="0" applyNumberFormat="1" applyFont="1" applyBorder="1"/>
    <xf numFmtId="49" fontId="0" fillId="0" borderId="14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17124</xdr:colOff>
      <xdr:row>112</xdr:row>
      <xdr:rowOff>128427</xdr:rowOff>
    </xdr:from>
    <xdr:to>
      <xdr:col>12</xdr:col>
      <xdr:colOff>469021</xdr:colOff>
      <xdr:row>113</xdr:row>
      <xdr:rowOff>177490</xdr:rowOff>
    </xdr:to>
    <xdr:pic>
      <xdr:nvPicPr>
        <xdr:cNvPr id="2" name="Рисунок 1"/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/>
      </xdr:blipFill>
      <xdr:spPr bwMode="auto">
        <a:xfrm>
          <a:off x="6678203" y="20719551"/>
          <a:ext cx="3244429" cy="228860"/>
        </a:xfrm>
        <a:prstGeom prst="rect">
          <a:avLst/>
        </a:prstGeom>
      </xdr:spPr>
    </xdr:pic>
    <xdr:clientData/>
  </xdr:twoCellAnchor>
  <xdr:oneCellAnchor>
    <xdr:from>
      <xdr:col>17</xdr:col>
      <xdr:colOff>17930</xdr:colOff>
      <xdr:row>80</xdr:row>
      <xdr:rowOff>40161</xdr:rowOff>
    </xdr:from>
    <xdr:ext cx="4249270" cy="1726545"/>
    <xdr:pic>
      <xdr:nvPicPr>
        <xdr:cNvPr id="5" name="Рисунок 4"/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/>
      </xdr:blipFill>
      <xdr:spPr bwMode="auto">
        <a:xfrm>
          <a:off x="15941489" y="15336190"/>
          <a:ext cx="4249270" cy="1726545"/>
        </a:xfrm>
        <a:prstGeom prst="rect">
          <a:avLst/>
        </a:prstGeom>
      </xdr:spPr>
    </xdr:pic>
    <xdr:clientData/>
  </xdr:oneCellAnchor>
  <xdr:oneCellAnchor>
    <xdr:from>
      <xdr:col>17</xdr:col>
      <xdr:colOff>8964</xdr:colOff>
      <xdr:row>92</xdr:row>
      <xdr:rowOff>28160</xdr:rowOff>
    </xdr:from>
    <xdr:ext cx="3585881" cy="1781770"/>
    <xdr:pic>
      <xdr:nvPicPr>
        <xdr:cNvPr id="6" name="Рисунок 5"/>
        <xdr:cNvPicPr>
          <a:picLocks noChangeAspect="1"/>
        </xdr:cNvPicPr>
      </xdr:nvPicPr>
      <xdr:blipFill rotWithShape="1">
        <a:blip xmlns:r="http://schemas.openxmlformats.org/officeDocument/2006/relationships" r:embed="rId3"/>
        <a:stretch/>
      </xdr:blipFill>
      <xdr:spPr bwMode="auto">
        <a:xfrm>
          <a:off x="12783670" y="18002395"/>
          <a:ext cx="3585882" cy="1781770"/>
        </a:xfrm>
        <a:prstGeom prst="rect">
          <a:avLst/>
        </a:prstGeom>
      </xdr:spPr>
    </xdr:pic>
    <xdr:clientData/>
  </xdr:oneCellAnchor>
  <xdr:twoCellAnchor editAs="oneCell">
    <xdr:from>
      <xdr:col>17</xdr:col>
      <xdr:colOff>35860</xdr:colOff>
      <xdr:row>104</xdr:row>
      <xdr:rowOff>43936</xdr:rowOff>
    </xdr:from>
    <xdr:to>
      <xdr:col>20</xdr:col>
      <xdr:colOff>358589</xdr:colOff>
      <xdr:row>106</xdr:row>
      <xdr:rowOff>68230</xdr:rowOff>
    </xdr:to>
    <xdr:pic>
      <xdr:nvPicPr>
        <xdr:cNvPr id="7" name="Рисунок 6"/>
        <xdr:cNvPicPr>
          <a:picLocks noChangeAspect="1"/>
        </xdr:cNvPicPr>
      </xdr:nvPicPr>
      <xdr:blipFill rotWithShape="1">
        <a:blip xmlns:r="http://schemas.openxmlformats.org/officeDocument/2006/relationships" r:embed="rId4"/>
        <a:stretch/>
      </xdr:blipFill>
      <xdr:spPr bwMode="auto">
        <a:xfrm>
          <a:off x="12810566" y="19147724"/>
          <a:ext cx="2151529" cy="400812"/>
        </a:xfrm>
        <a:prstGeom prst="rect">
          <a:avLst/>
        </a:prstGeom>
      </xdr:spPr>
    </xdr:pic>
    <xdr:clientData/>
  </xdr:twoCellAnchor>
  <xdr:twoCellAnchor editAs="oneCell">
    <xdr:from>
      <xdr:col>17</xdr:col>
      <xdr:colOff>17930</xdr:colOff>
      <xdr:row>109</xdr:row>
      <xdr:rowOff>61490</xdr:rowOff>
    </xdr:from>
    <xdr:to>
      <xdr:col>22</xdr:col>
      <xdr:colOff>313767</xdr:colOff>
      <xdr:row>115</xdr:row>
      <xdr:rowOff>48389</xdr:rowOff>
    </xdr:to>
    <xdr:pic>
      <xdr:nvPicPr>
        <xdr:cNvPr id="8" name="Рисунок 7"/>
        <xdr:cNvPicPr>
          <a:picLocks noChangeAspect="1"/>
        </xdr:cNvPicPr>
      </xdr:nvPicPr>
      <xdr:blipFill rotWithShape="1">
        <a:blip xmlns:r="http://schemas.openxmlformats.org/officeDocument/2006/relationships" r:embed="rId5"/>
        <a:stretch/>
      </xdr:blipFill>
      <xdr:spPr bwMode="auto">
        <a:xfrm>
          <a:off x="12792636" y="20079678"/>
          <a:ext cx="3415553" cy="10738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3"/>
  <sheetViews>
    <sheetView tabSelected="1" zoomScale="85" zoomScaleNormal="85" workbookViewId="0">
      <selection activeCell="K106" sqref="K106"/>
    </sheetView>
  </sheetViews>
  <sheetFormatPr defaultRowHeight="15" x14ac:dyDescent="0.25"/>
  <cols>
    <col min="1" max="1" width="21.140625" customWidth="1"/>
    <col min="2" max="2" width="46.28515625" bestFit="1" customWidth="1"/>
    <col min="3" max="3" width="10.7109375" customWidth="1"/>
    <col min="4" max="4" width="11.7109375" customWidth="1"/>
    <col min="5" max="5" width="10.85546875" customWidth="1"/>
    <col min="6" max="6" width="10.7109375" customWidth="1"/>
    <col min="7" max="7" width="20.5703125" customWidth="1"/>
    <col min="8" max="9" width="10.28515625" bestFit="1" customWidth="1"/>
    <col min="10" max="10" width="10" customWidth="1"/>
    <col min="11" max="15" width="10.28515625" bestFit="1" customWidth="1"/>
    <col min="16" max="16" width="15.85546875" customWidth="1"/>
    <col min="21" max="21" width="9.85546875" customWidth="1"/>
    <col min="38" max="38" width="9.7109375" customWidth="1"/>
  </cols>
  <sheetData>
    <row r="1" spans="1:10" ht="15.75" thickBot="1" x14ac:dyDescent="0.3">
      <c r="A1" s="56" t="s">
        <v>0</v>
      </c>
    </row>
    <row r="2" spans="1:10" x14ac:dyDescent="0.25">
      <c r="A2" s="1" t="s">
        <v>1</v>
      </c>
      <c r="B2" t="s">
        <v>2</v>
      </c>
      <c r="H2" s="19" t="s">
        <v>3</v>
      </c>
      <c r="I2" s="57" t="s">
        <v>63</v>
      </c>
    </row>
    <row r="3" spans="1:10" x14ac:dyDescent="0.25">
      <c r="A3" s="1" t="s">
        <v>4</v>
      </c>
      <c r="B3" t="s">
        <v>5</v>
      </c>
      <c r="H3" s="19" t="s">
        <v>6</v>
      </c>
      <c r="I3" s="58" t="s">
        <v>7</v>
      </c>
    </row>
    <row r="4" spans="1:10" x14ac:dyDescent="0.25">
      <c r="A4" s="1" t="s">
        <v>8</v>
      </c>
      <c r="B4" t="s">
        <v>9</v>
      </c>
      <c r="H4" s="19" t="s">
        <v>10</v>
      </c>
      <c r="I4" s="57" t="s">
        <v>64</v>
      </c>
    </row>
    <row r="5" spans="1:10" x14ac:dyDescent="0.25">
      <c r="A5" s="1" t="s">
        <v>11</v>
      </c>
      <c r="B5" s="32" t="s">
        <v>12</v>
      </c>
    </row>
    <row r="6" spans="1:10" ht="15.75" thickBot="1" x14ac:dyDescent="0.3">
      <c r="H6" s="41" t="s">
        <v>39</v>
      </c>
      <c r="I6" s="41"/>
      <c r="J6" s="41"/>
    </row>
    <row r="7" spans="1:10" ht="15.75" thickBot="1" x14ac:dyDescent="0.3">
      <c r="A7" s="56" t="s">
        <v>13</v>
      </c>
      <c r="D7" s="32" t="s">
        <v>57</v>
      </c>
      <c r="H7" s="42" t="s">
        <v>60</v>
      </c>
      <c r="I7" s="42" t="s">
        <v>61</v>
      </c>
      <c r="J7" s="42" t="s">
        <v>62</v>
      </c>
    </row>
    <row r="8" spans="1:10" x14ac:dyDescent="0.25">
      <c r="A8">
        <v>1</v>
      </c>
      <c r="B8" s="2" t="s">
        <v>14</v>
      </c>
      <c r="D8" s="32" t="s">
        <v>58</v>
      </c>
      <c r="E8" t="s">
        <v>15</v>
      </c>
      <c r="H8" s="43">
        <v>5</v>
      </c>
      <c r="I8" s="43">
        <v>7</v>
      </c>
      <c r="J8" s="43">
        <v>9</v>
      </c>
    </row>
    <row r="9" spans="1:10" x14ac:dyDescent="0.25">
      <c r="A9">
        <v>2</v>
      </c>
      <c r="B9" s="2" t="s">
        <v>16</v>
      </c>
      <c r="D9" s="32" t="s">
        <v>59</v>
      </c>
      <c r="E9" t="s">
        <v>17</v>
      </c>
      <c r="H9" s="43">
        <v>5</v>
      </c>
      <c r="I9" s="43">
        <v>7</v>
      </c>
      <c r="J9" s="43">
        <v>9</v>
      </c>
    </row>
    <row r="10" spans="1:10" x14ac:dyDescent="0.25">
      <c r="A10">
        <v>3</v>
      </c>
      <c r="B10" s="2" t="s">
        <v>18</v>
      </c>
      <c r="D10" s="21" t="s">
        <v>58</v>
      </c>
      <c r="E10" t="s">
        <v>15</v>
      </c>
      <c r="H10" s="43">
        <v>3</v>
      </c>
      <c r="I10" s="43">
        <v>5</v>
      </c>
      <c r="J10" s="43">
        <v>7</v>
      </c>
    </row>
    <row r="11" spans="1:10" x14ac:dyDescent="0.25">
      <c r="A11">
        <v>4</v>
      </c>
      <c r="B11" s="2" t="s">
        <v>19</v>
      </c>
      <c r="D11" s="32" t="s">
        <v>59</v>
      </c>
      <c r="E11" t="s">
        <v>17</v>
      </c>
      <c r="H11" s="43">
        <v>5</v>
      </c>
      <c r="I11" s="43">
        <v>7</v>
      </c>
      <c r="J11" s="43">
        <v>9</v>
      </c>
    </row>
    <row r="12" spans="1:10" x14ac:dyDescent="0.25">
      <c r="A12">
        <v>5</v>
      </c>
      <c r="B12" s="2" t="s">
        <v>20</v>
      </c>
      <c r="D12" s="21" t="s">
        <v>58</v>
      </c>
      <c r="E12" t="s">
        <v>15</v>
      </c>
      <c r="H12" s="43">
        <v>1</v>
      </c>
      <c r="I12" s="43">
        <v>2</v>
      </c>
      <c r="J12" s="43">
        <v>5</v>
      </c>
    </row>
    <row r="13" spans="1:10" ht="15.75" thickBot="1" x14ac:dyDescent="0.3"/>
    <row r="14" spans="1:10" ht="15.75" thickBot="1" x14ac:dyDescent="0.3">
      <c r="A14" s="56" t="s">
        <v>21</v>
      </c>
    </row>
    <row r="15" spans="1:10" x14ac:dyDescent="0.25">
      <c r="A15" s="7" t="s">
        <v>22</v>
      </c>
      <c r="B15" s="4" t="s">
        <v>23</v>
      </c>
      <c r="C15" s="4" t="s">
        <v>24</v>
      </c>
      <c r="D15" s="5" t="s">
        <v>25</v>
      </c>
      <c r="E15" s="4" t="s">
        <v>26</v>
      </c>
      <c r="F15" s="6" t="s">
        <v>27</v>
      </c>
    </row>
    <row r="16" spans="1:10" x14ac:dyDescent="0.25">
      <c r="A16" s="7" t="s">
        <v>28</v>
      </c>
      <c r="B16" s="2" t="s">
        <v>10</v>
      </c>
      <c r="C16" s="2" t="s">
        <v>6</v>
      </c>
      <c r="D16" s="2" t="s">
        <v>6</v>
      </c>
      <c r="E16" s="2" t="s">
        <v>10</v>
      </c>
      <c r="F16" s="8" t="s">
        <v>6</v>
      </c>
    </row>
    <row r="17" spans="1:6" x14ac:dyDescent="0.25">
      <c r="A17" s="7" t="s">
        <v>29</v>
      </c>
      <c r="B17" s="32" t="s">
        <v>6</v>
      </c>
      <c r="C17" s="32" t="s">
        <v>6</v>
      </c>
      <c r="D17" s="32" t="s">
        <v>10</v>
      </c>
      <c r="E17" s="32" t="s">
        <v>10</v>
      </c>
      <c r="F17" s="9" t="s">
        <v>6</v>
      </c>
    </row>
    <row r="18" spans="1:6" x14ac:dyDescent="0.25">
      <c r="A18" s="10" t="s">
        <v>30</v>
      </c>
      <c r="B18" s="36" t="s">
        <v>10</v>
      </c>
      <c r="C18" s="11" t="s">
        <v>10</v>
      </c>
      <c r="D18" s="11" t="s">
        <v>10</v>
      </c>
      <c r="E18" s="12" t="s">
        <v>6</v>
      </c>
      <c r="F18" s="13" t="s">
        <v>6</v>
      </c>
    </row>
    <row r="19" spans="1:6" x14ac:dyDescent="0.25">
      <c r="F19" s="14"/>
    </row>
    <row r="20" spans="1:6" x14ac:dyDescent="0.25">
      <c r="A20" s="3" t="s">
        <v>31</v>
      </c>
      <c r="B20" s="4" t="s">
        <v>23</v>
      </c>
      <c r="C20" s="5" t="s">
        <v>24</v>
      </c>
      <c r="D20" s="5" t="s">
        <v>25</v>
      </c>
      <c r="E20" s="4" t="s">
        <v>26</v>
      </c>
      <c r="F20" s="6" t="s">
        <v>27</v>
      </c>
    </row>
    <row r="21" spans="1:6" x14ac:dyDescent="0.25">
      <c r="A21" s="7" t="s">
        <v>28</v>
      </c>
      <c r="B21" s="32" t="s">
        <v>3</v>
      </c>
      <c r="C21" s="2" t="s">
        <v>6</v>
      </c>
      <c r="D21" s="2" t="s">
        <v>6</v>
      </c>
      <c r="E21" s="2" t="s">
        <v>3</v>
      </c>
      <c r="F21" s="8" t="s">
        <v>6</v>
      </c>
    </row>
    <row r="22" spans="1:6" x14ac:dyDescent="0.25">
      <c r="A22" s="7" t="s">
        <v>29</v>
      </c>
      <c r="B22" t="s">
        <v>3</v>
      </c>
      <c r="C22" s="32" t="s">
        <v>3</v>
      </c>
      <c r="D22" t="s">
        <v>6</v>
      </c>
      <c r="E22" s="32" t="s">
        <v>3</v>
      </c>
      <c r="F22" s="8" t="s">
        <v>6</v>
      </c>
    </row>
    <row r="23" spans="1:6" x14ac:dyDescent="0.25">
      <c r="A23" s="10" t="s">
        <v>30</v>
      </c>
      <c r="B23" s="12" t="s">
        <v>3</v>
      </c>
      <c r="C23" s="11" t="s">
        <v>6</v>
      </c>
      <c r="D23" s="12" t="s">
        <v>3</v>
      </c>
      <c r="E23" s="11" t="s">
        <v>3</v>
      </c>
      <c r="F23" s="15" t="s">
        <v>10</v>
      </c>
    </row>
    <row r="25" spans="1:6" x14ac:dyDescent="0.25">
      <c r="A25" s="3" t="s">
        <v>32</v>
      </c>
      <c r="B25" s="4" t="s">
        <v>23</v>
      </c>
      <c r="C25" s="5" t="s">
        <v>24</v>
      </c>
      <c r="D25" s="5" t="s">
        <v>25</v>
      </c>
      <c r="E25" s="4" t="s">
        <v>26</v>
      </c>
      <c r="F25" s="6" t="s">
        <v>27</v>
      </c>
    </row>
    <row r="26" spans="1:6" x14ac:dyDescent="0.25">
      <c r="A26" s="7" t="s">
        <v>28</v>
      </c>
      <c r="B26" s="2" t="s">
        <v>10</v>
      </c>
      <c r="C26" s="2" t="s">
        <v>3</v>
      </c>
      <c r="D26" s="2" t="s">
        <v>10</v>
      </c>
      <c r="E26" s="2" t="s">
        <v>3</v>
      </c>
      <c r="F26" s="8" t="s">
        <v>6</v>
      </c>
    </row>
    <row r="27" spans="1:6" x14ac:dyDescent="0.25">
      <c r="A27" s="7" t="s">
        <v>29</v>
      </c>
      <c r="B27" s="2" t="s">
        <v>10</v>
      </c>
      <c r="C27" s="32" t="s">
        <v>3</v>
      </c>
      <c r="D27" s="14" t="s">
        <v>10</v>
      </c>
      <c r="E27" s="32" t="s">
        <v>3</v>
      </c>
      <c r="F27" s="35" t="s">
        <v>6</v>
      </c>
    </row>
    <row r="28" spans="1:6" x14ac:dyDescent="0.25">
      <c r="A28" s="10" t="s">
        <v>30</v>
      </c>
      <c r="B28" s="11" t="s">
        <v>6</v>
      </c>
      <c r="C28" s="11" t="s">
        <v>6</v>
      </c>
      <c r="D28" s="12" t="s">
        <v>6</v>
      </c>
      <c r="E28" s="11" t="s">
        <v>3</v>
      </c>
      <c r="F28" s="13" t="s">
        <v>3</v>
      </c>
    </row>
    <row r="30" spans="1:6" x14ac:dyDescent="0.25">
      <c r="A30" s="3" t="s">
        <v>33</v>
      </c>
      <c r="B30" s="4" t="s">
        <v>23</v>
      </c>
      <c r="C30" s="5" t="s">
        <v>24</v>
      </c>
      <c r="D30" s="5" t="s">
        <v>25</v>
      </c>
      <c r="E30" s="4" t="s">
        <v>26</v>
      </c>
      <c r="F30" s="6" t="s">
        <v>27</v>
      </c>
    </row>
    <row r="31" spans="1:6" x14ac:dyDescent="0.25">
      <c r="A31" s="7" t="s">
        <v>28</v>
      </c>
      <c r="B31" s="2" t="s">
        <v>3</v>
      </c>
      <c r="C31" s="2" t="s">
        <v>10</v>
      </c>
      <c r="D31" s="2" t="s">
        <v>3</v>
      </c>
      <c r="E31" s="14" t="s">
        <v>10</v>
      </c>
      <c r="F31" s="9" t="s">
        <v>6</v>
      </c>
    </row>
    <row r="32" spans="1:6" x14ac:dyDescent="0.25">
      <c r="A32" s="7" t="s">
        <v>29</v>
      </c>
      <c r="B32" s="14" t="s">
        <v>3</v>
      </c>
      <c r="C32" s="32" t="s">
        <v>6</v>
      </c>
      <c r="D32" s="2" t="s">
        <v>3</v>
      </c>
      <c r="E32" s="32" t="s">
        <v>10</v>
      </c>
      <c r="F32" s="9" t="s">
        <v>6</v>
      </c>
    </row>
    <row r="33" spans="1:16" x14ac:dyDescent="0.25">
      <c r="A33" s="10" t="s">
        <v>30</v>
      </c>
      <c r="B33" s="12" t="s">
        <v>3</v>
      </c>
      <c r="C33" s="11" t="s">
        <v>10</v>
      </c>
      <c r="D33" s="11" t="s">
        <v>3</v>
      </c>
      <c r="E33" s="11" t="s">
        <v>6</v>
      </c>
      <c r="F33" s="13" t="s">
        <v>3</v>
      </c>
    </row>
    <row r="35" spans="1:16" ht="15.75" thickBot="1" x14ac:dyDescent="0.3"/>
    <row r="36" spans="1:16" ht="15.75" thickBot="1" x14ac:dyDescent="0.3">
      <c r="A36" s="45" t="s">
        <v>34</v>
      </c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7"/>
    </row>
    <row r="37" spans="1:16" x14ac:dyDescent="0.25">
      <c r="B37" s="23" t="s">
        <v>14</v>
      </c>
      <c r="C37" s="23"/>
      <c r="D37" s="23"/>
      <c r="E37" s="23" t="s">
        <v>16</v>
      </c>
      <c r="F37" s="23"/>
      <c r="G37" s="23"/>
      <c r="H37" s="23" t="s">
        <v>18</v>
      </c>
      <c r="I37" s="23"/>
      <c r="J37" s="23"/>
      <c r="K37" s="23" t="s">
        <v>19</v>
      </c>
      <c r="L37" s="23"/>
      <c r="M37" s="23"/>
      <c r="N37" s="23" t="s">
        <v>20</v>
      </c>
      <c r="O37" s="23"/>
      <c r="P37" s="23"/>
    </row>
    <row r="38" spans="1:16" x14ac:dyDescent="0.25">
      <c r="B38" s="24" t="s">
        <v>35</v>
      </c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</row>
    <row r="39" spans="1:16" x14ac:dyDescent="0.25">
      <c r="A39" t="s">
        <v>1</v>
      </c>
      <c r="B39" s="34" t="s">
        <v>10</v>
      </c>
      <c r="C39" s="26"/>
      <c r="D39" s="27"/>
      <c r="E39" s="25" t="s">
        <v>6</v>
      </c>
      <c r="F39" s="26"/>
      <c r="G39" s="27"/>
      <c r="H39" s="25" t="s">
        <v>6</v>
      </c>
      <c r="I39" s="26"/>
      <c r="J39" s="27"/>
      <c r="K39" s="25" t="s">
        <v>10</v>
      </c>
      <c r="L39" s="26"/>
      <c r="M39" s="27"/>
      <c r="N39" s="25" t="s">
        <v>6</v>
      </c>
      <c r="O39" s="26"/>
      <c r="P39" s="27"/>
    </row>
    <row r="40" spans="1:16" x14ac:dyDescent="0.25">
      <c r="A40" s="2" t="s">
        <v>4</v>
      </c>
      <c r="B40" s="25" t="s">
        <v>3</v>
      </c>
      <c r="C40" s="26"/>
      <c r="D40" s="27"/>
      <c r="E40" s="25" t="s">
        <v>6</v>
      </c>
      <c r="F40" s="26"/>
      <c r="G40" s="27"/>
      <c r="H40" s="25" t="s">
        <v>6</v>
      </c>
      <c r="I40" s="26"/>
      <c r="J40" s="27"/>
      <c r="K40" s="25" t="s">
        <v>3</v>
      </c>
      <c r="L40" s="26"/>
      <c r="M40" s="27"/>
      <c r="N40" s="25" t="s">
        <v>6</v>
      </c>
      <c r="O40" s="26"/>
      <c r="P40" s="27"/>
    </row>
    <row r="41" spans="1:16" x14ac:dyDescent="0.25">
      <c r="A41" t="s">
        <v>8</v>
      </c>
      <c r="B41" s="25" t="s">
        <v>10</v>
      </c>
      <c r="C41" s="26"/>
      <c r="D41" s="27"/>
      <c r="E41" s="25" t="s">
        <v>3</v>
      </c>
      <c r="F41" s="26"/>
      <c r="G41" s="27"/>
      <c r="H41" s="25" t="s">
        <v>10</v>
      </c>
      <c r="I41" s="26"/>
      <c r="J41" s="27"/>
      <c r="K41" s="25" t="s">
        <v>3</v>
      </c>
      <c r="L41" s="26"/>
      <c r="M41" s="27"/>
      <c r="N41" s="25" t="s">
        <v>6</v>
      </c>
      <c r="O41" s="26"/>
      <c r="P41" s="27"/>
    </row>
    <row r="42" spans="1:16" x14ac:dyDescent="0.25">
      <c r="A42" s="2" t="s">
        <v>11</v>
      </c>
      <c r="B42" s="25" t="s">
        <v>3</v>
      </c>
      <c r="C42" s="26"/>
      <c r="D42" s="27"/>
      <c r="E42" s="25" t="s">
        <v>10</v>
      </c>
      <c r="F42" s="26"/>
      <c r="G42" s="27"/>
      <c r="H42" s="25" t="s">
        <v>3</v>
      </c>
      <c r="I42" s="26"/>
      <c r="J42" s="27"/>
      <c r="K42" s="25" t="s">
        <v>10</v>
      </c>
      <c r="L42" s="26"/>
      <c r="M42" s="27"/>
      <c r="N42" s="25" t="s">
        <v>6</v>
      </c>
      <c r="O42" s="26"/>
      <c r="P42" s="27"/>
    </row>
    <row r="43" spans="1:16" x14ac:dyDescent="0.25"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</row>
    <row r="44" spans="1:16" x14ac:dyDescent="0.25">
      <c r="A44" t="s">
        <v>1</v>
      </c>
      <c r="B44" s="38">
        <v>1</v>
      </c>
      <c r="C44" s="39">
        <v>2</v>
      </c>
      <c r="D44" s="40">
        <v>5</v>
      </c>
      <c r="E44" s="38">
        <v>3</v>
      </c>
      <c r="F44" s="39">
        <v>5</v>
      </c>
      <c r="G44" s="40">
        <v>7</v>
      </c>
      <c r="H44" s="38">
        <v>3</v>
      </c>
      <c r="I44" s="39">
        <v>5</v>
      </c>
      <c r="J44" s="40">
        <v>7</v>
      </c>
      <c r="K44" s="38">
        <v>1</v>
      </c>
      <c r="L44" s="39">
        <v>2</v>
      </c>
      <c r="M44" s="40">
        <v>5</v>
      </c>
      <c r="N44" s="38">
        <v>3</v>
      </c>
      <c r="O44" s="39">
        <v>5</v>
      </c>
      <c r="P44" s="40">
        <v>7</v>
      </c>
    </row>
    <row r="45" spans="1:16" x14ac:dyDescent="0.25">
      <c r="A45" s="2" t="s">
        <v>4</v>
      </c>
      <c r="B45" s="38">
        <v>5</v>
      </c>
      <c r="C45" s="39">
        <v>7</v>
      </c>
      <c r="D45" s="40">
        <v>9</v>
      </c>
      <c r="E45" s="38">
        <v>3</v>
      </c>
      <c r="F45" s="39">
        <v>5</v>
      </c>
      <c r="G45" s="40">
        <v>7</v>
      </c>
      <c r="H45" s="38">
        <v>3</v>
      </c>
      <c r="I45" s="39">
        <v>5</v>
      </c>
      <c r="J45" s="40">
        <v>7</v>
      </c>
      <c r="K45" s="38">
        <v>5</v>
      </c>
      <c r="L45" s="39">
        <v>7</v>
      </c>
      <c r="M45" s="40">
        <v>9</v>
      </c>
      <c r="N45" s="38">
        <v>3</v>
      </c>
      <c r="O45" s="39">
        <v>5</v>
      </c>
      <c r="P45" s="40">
        <v>7</v>
      </c>
    </row>
    <row r="46" spans="1:16" x14ac:dyDescent="0.25">
      <c r="A46" t="s">
        <v>8</v>
      </c>
      <c r="B46" s="38">
        <v>1</v>
      </c>
      <c r="C46" s="39">
        <v>2</v>
      </c>
      <c r="D46" s="40">
        <v>5</v>
      </c>
      <c r="E46" s="38">
        <v>5</v>
      </c>
      <c r="F46" s="39">
        <v>7</v>
      </c>
      <c r="G46" s="40">
        <v>9</v>
      </c>
      <c r="H46" s="38">
        <v>1</v>
      </c>
      <c r="I46" s="39">
        <v>2</v>
      </c>
      <c r="J46" s="40">
        <v>5</v>
      </c>
      <c r="K46" s="38">
        <v>5</v>
      </c>
      <c r="L46" s="39">
        <v>7</v>
      </c>
      <c r="M46" s="40">
        <v>9</v>
      </c>
      <c r="N46" s="38">
        <v>3</v>
      </c>
      <c r="O46" s="39">
        <v>5</v>
      </c>
      <c r="P46" s="40">
        <v>7</v>
      </c>
    </row>
    <row r="47" spans="1:16" x14ac:dyDescent="0.25">
      <c r="A47" s="2" t="s">
        <v>11</v>
      </c>
      <c r="B47" s="38">
        <v>5</v>
      </c>
      <c r="C47" s="39">
        <v>7</v>
      </c>
      <c r="D47" s="40">
        <v>9</v>
      </c>
      <c r="E47" s="38">
        <v>1</v>
      </c>
      <c r="F47" s="39">
        <v>2</v>
      </c>
      <c r="G47" s="40">
        <v>5</v>
      </c>
      <c r="H47" s="38">
        <v>5</v>
      </c>
      <c r="I47" s="39">
        <v>7</v>
      </c>
      <c r="J47" s="40">
        <v>9</v>
      </c>
      <c r="K47" s="38">
        <v>1</v>
      </c>
      <c r="L47" s="39">
        <v>2</v>
      </c>
      <c r="M47" s="40">
        <v>5</v>
      </c>
      <c r="N47" s="38">
        <v>3</v>
      </c>
      <c r="O47" s="39">
        <v>5</v>
      </c>
      <c r="P47" s="40">
        <v>7</v>
      </c>
    </row>
    <row r="50" spans="1:16" x14ac:dyDescent="0.25">
      <c r="B50" s="23" t="s">
        <v>14</v>
      </c>
      <c r="C50" s="23"/>
      <c r="D50" s="23"/>
      <c r="E50" s="23" t="s">
        <v>16</v>
      </c>
      <c r="F50" s="23"/>
      <c r="G50" s="23"/>
      <c r="H50" s="23" t="s">
        <v>18</v>
      </c>
      <c r="I50" s="23"/>
      <c r="J50" s="23"/>
      <c r="K50" s="23" t="s">
        <v>19</v>
      </c>
      <c r="L50" s="23"/>
      <c r="M50" s="23"/>
      <c r="N50" s="23" t="s">
        <v>20</v>
      </c>
      <c r="O50" s="23"/>
      <c r="P50" s="23"/>
    </row>
    <row r="51" spans="1:16" x14ac:dyDescent="0.25">
      <c r="B51" s="24" t="s">
        <v>36</v>
      </c>
      <c r="C51" s="24"/>
      <c r="D51" s="24"/>
      <c r="E51" s="28"/>
      <c r="F51" s="28"/>
      <c r="G51" s="28"/>
      <c r="H51" s="24"/>
      <c r="I51" s="24"/>
      <c r="J51" s="24"/>
      <c r="K51" s="24"/>
      <c r="L51" s="24"/>
      <c r="M51" s="24"/>
      <c r="N51" s="24"/>
      <c r="O51" s="24"/>
      <c r="P51" s="24"/>
    </row>
    <row r="52" spans="1:16" x14ac:dyDescent="0.25">
      <c r="A52" t="s">
        <v>1</v>
      </c>
      <c r="B52" s="25" t="s">
        <v>6</v>
      </c>
      <c r="C52" s="26"/>
      <c r="D52" s="26"/>
      <c r="E52" s="33" t="s">
        <v>6</v>
      </c>
      <c r="F52" s="30"/>
      <c r="G52" s="31"/>
      <c r="H52" s="29" t="s">
        <v>10</v>
      </c>
      <c r="I52" s="29"/>
      <c r="J52" s="29"/>
      <c r="K52" s="25" t="s">
        <v>10</v>
      </c>
      <c r="L52" s="26"/>
      <c r="M52" s="27"/>
      <c r="N52" s="25" t="s">
        <v>6</v>
      </c>
      <c r="O52" s="26"/>
      <c r="P52" s="27"/>
    </row>
    <row r="53" spans="1:16" x14ac:dyDescent="0.25">
      <c r="A53" t="s">
        <v>4</v>
      </c>
      <c r="B53" s="25" t="s">
        <v>3</v>
      </c>
      <c r="C53" s="26"/>
      <c r="D53" s="26"/>
      <c r="E53" s="33" t="s">
        <v>3</v>
      </c>
      <c r="F53" s="30"/>
      <c r="G53" s="31"/>
      <c r="H53" s="29" t="s">
        <v>6</v>
      </c>
      <c r="I53" s="29"/>
      <c r="J53" s="29"/>
      <c r="K53" s="34" t="s">
        <v>3</v>
      </c>
      <c r="L53" s="26"/>
      <c r="M53" s="27"/>
      <c r="N53" s="25" t="s">
        <v>6</v>
      </c>
      <c r="O53" s="26"/>
      <c r="P53" s="27"/>
    </row>
    <row r="54" spans="1:16" x14ac:dyDescent="0.25">
      <c r="A54" t="s">
        <v>8</v>
      </c>
      <c r="B54" s="25" t="s">
        <v>10</v>
      </c>
      <c r="C54" s="26"/>
      <c r="D54" s="26"/>
      <c r="E54" s="33" t="s">
        <v>3</v>
      </c>
      <c r="F54" s="30"/>
      <c r="G54" s="31"/>
      <c r="H54" s="29" t="s">
        <v>10</v>
      </c>
      <c r="I54" s="29"/>
      <c r="J54" s="29"/>
      <c r="K54" s="34" t="s">
        <v>3</v>
      </c>
      <c r="L54" s="26"/>
      <c r="M54" s="27"/>
      <c r="N54" s="25" t="s">
        <v>6</v>
      </c>
      <c r="O54" s="26"/>
      <c r="P54" s="27"/>
    </row>
    <row r="55" spans="1:16" x14ac:dyDescent="0.25">
      <c r="A55" t="s">
        <v>11</v>
      </c>
      <c r="B55" s="25" t="s">
        <v>3</v>
      </c>
      <c r="C55" s="26"/>
      <c r="D55" s="26"/>
      <c r="E55" s="33" t="s">
        <v>6</v>
      </c>
      <c r="F55" s="30"/>
      <c r="G55" s="31"/>
      <c r="H55" s="29" t="s">
        <v>3</v>
      </c>
      <c r="I55" s="29"/>
      <c r="J55" s="29"/>
      <c r="K55" s="25" t="s">
        <v>10</v>
      </c>
      <c r="L55" s="26"/>
      <c r="M55" s="27"/>
      <c r="N55" s="25" t="s">
        <v>6</v>
      </c>
      <c r="O55" s="26"/>
      <c r="P55" s="27"/>
    </row>
    <row r="56" spans="1:16" x14ac:dyDescent="0.25"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</row>
    <row r="57" spans="1:16" x14ac:dyDescent="0.25">
      <c r="A57" t="s">
        <v>1</v>
      </c>
      <c r="B57" s="38">
        <v>3</v>
      </c>
      <c r="C57" s="39">
        <v>5</v>
      </c>
      <c r="D57" s="40">
        <v>7</v>
      </c>
      <c r="E57" s="38">
        <v>3</v>
      </c>
      <c r="F57" s="39">
        <v>5</v>
      </c>
      <c r="G57" s="40">
        <v>7</v>
      </c>
      <c r="H57" s="38">
        <v>1</v>
      </c>
      <c r="I57" s="39">
        <v>2</v>
      </c>
      <c r="J57" s="40">
        <v>5</v>
      </c>
      <c r="K57" s="38">
        <v>1</v>
      </c>
      <c r="L57" s="39">
        <v>2</v>
      </c>
      <c r="M57" s="40">
        <v>5</v>
      </c>
      <c r="N57" s="38">
        <v>3</v>
      </c>
      <c r="O57" s="39">
        <v>5</v>
      </c>
      <c r="P57" s="40">
        <v>7</v>
      </c>
    </row>
    <row r="58" spans="1:16" x14ac:dyDescent="0.25">
      <c r="A58" t="s">
        <v>4</v>
      </c>
      <c r="B58" s="38">
        <v>5</v>
      </c>
      <c r="C58" s="39">
        <v>7</v>
      </c>
      <c r="D58" s="40">
        <v>9</v>
      </c>
      <c r="E58" s="38">
        <v>5</v>
      </c>
      <c r="F58" s="39">
        <v>7</v>
      </c>
      <c r="G58" s="40">
        <v>9</v>
      </c>
      <c r="H58" s="38">
        <v>3</v>
      </c>
      <c r="I58" s="39">
        <v>5</v>
      </c>
      <c r="J58" s="40">
        <v>7</v>
      </c>
      <c r="K58" s="38">
        <v>5</v>
      </c>
      <c r="L58" s="39">
        <v>7</v>
      </c>
      <c r="M58" s="40">
        <v>9</v>
      </c>
      <c r="N58" s="38">
        <v>3</v>
      </c>
      <c r="O58" s="39">
        <v>5</v>
      </c>
      <c r="P58" s="40">
        <v>7</v>
      </c>
    </row>
    <row r="59" spans="1:16" x14ac:dyDescent="0.25">
      <c r="A59" t="s">
        <v>8</v>
      </c>
      <c r="B59" s="38">
        <v>1</v>
      </c>
      <c r="C59" s="39">
        <v>2</v>
      </c>
      <c r="D59" s="40">
        <v>5</v>
      </c>
      <c r="E59" s="38">
        <v>5</v>
      </c>
      <c r="F59" s="39">
        <v>7</v>
      </c>
      <c r="G59" s="40">
        <v>9</v>
      </c>
      <c r="H59" s="38">
        <v>1</v>
      </c>
      <c r="I59" s="39">
        <v>2</v>
      </c>
      <c r="J59" s="40">
        <v>5</v>
      </c>
      <c r="K59" s="38">
        <v>5</v>
      </c>
      <c r="L59" s="39">
        <v>7</v>
      </c>
      <c r="M59" s="40">
        <v>9</v>
      </c>
      <c r="N59" s="38">
        <v>3</v>
      </c>
      <c r="O59" s="39">
        <v>5</v>
      </c>
      <c r="P59" s="40">
        <v>7</v>
      </c>
    </row>
    <row r="60" spans="1:16" x14ac:dyDescent="0.25">
      <c r="A60" t="s">
        <v>11</v>
      </c>
      <c r="B60" s="38">
        <v>5</v>
      </c>
      <c r="C60" s="39">
        <v>7</v>
      </c>
      <c r="D60" s="40">
        <v>9</v>
      </c>
      <c r="E60" s="38">
        <v>3</v>
      </c>
      <c r="F60" s="39">
        <v>5</v>
      </c>
      <c r="G60" s="40">
        <v>7</v>
      </c>
      <c r="H60" s="38">
        <v>5</v>
      </c>
      <c r="I60" s="39">
        <v>7</v>
      </c>
      <c r="J60" s="40">
        <v>9</v>
      </c>
      <c r="K60" s="38">
        <v>1</v>
      </c>
      <c r="L60" s="39">
        <v>2</v>
      </c>
      <c r="M60" s="40">
        <v>5</v>
      </c>
      <c r="N60" s="38">
        <v>3</v>
      </c>
      <c r="O60" s="39">
        <v>5</v>
      </c>
      <c r="P60" s="40">
        <v>7</v>
      </c>
    </row>
    <row r="63" spans="1:16" x14ac:dyDescent="0.25">
      <c r="B63" s="23" t="s">
        <v>14</v>
      </c>
      <c r="C63" s="23"/>
      <c r="D63" s="23"/>
      <c r="E63" s="23" t="s">
        <v>16</v>
      </c>
      <c r="F63" s="23"/>
      <c r="G63" s="23"/>
      <c r="H63" s="23" t="s">
        <v>18</v>
      </c>
      <c r="I63" s="23"/>
      <c r="J63" s="23"/>
      <c r="K63" s="23" t="s">
        <v>19</v>
      </c>
      <c r="L63" s="23"/>
      <c r="M63" s="23"/>
      <c r="N63" s="23" t="s">
        <v>20</v>
      </c>
      <c r="O63" s="23"/>
      <c r="P63" s="23"/>
    </row>
    <row r="64" spans="1:16" x14ac:dyDescent="0.25">
      <c r="B64" s="24" t="s">
        <v>37</v>
      </c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</row>
    <row r="65" spans="1:22" x14ac:dyDescent="0.25">
      <c r="A65" t="s">
        <v>1</v>
      </c>
      <c r="B65" s="34" t="s">
        <v>10</v>
      </c>
      <c r="C65" s="26"/>
      <c r="D65" s="27"/>
      <c r="E65" s="34" t="s">
        <v>10</v>
      </c>
      <c r="F65" s="26"/>
      <c r="G65" s="27"/>
      <c r="H65" s="34" t="s">
        <v>10</v>
      </c>
      <c r="I65" s="26"/>
      <c r="J65" s="27"/>
      <c r="K65" s="34" t="s">
        <v>6</v>
      </c>
      <c r="L65" s="26"/>
      <c r="M65" s="27"/>
      <c r="N65" s="34" t="s">
        <v>6</v>
      </c>
      <c r="O65" s="26"/>
      <c r="P65" s="27"/>
    </row>
    <row r="66" spans="1:22" x14ac:dyDescent="0.25">
      <c r="A66" t="s">
        <v>4</v>
      </c>
      <c r="B66" s="34" t="s">
        <v>3</v>
      </c>
      <c r="C66" s="26"/>
      <c r="D66" s="27"/>
      <c r="E66" s="34" t="s">
        <v>6</v>
      </c>
      <c r="F66" s="26"/>
      <c r="G66" s="27"/>
      <c r="H66" s="34" t="s">
        <v>3</v>
      </c>
      <c r="I66" s="26"/>
      <c r="J66" s="27"/>
      <c r="K66" s="34" t="s">
        <v>3</v>
      </c>
      <c r="L66" s="26"/>
      <c r="M66" s="27"/>
      <c r="N66" s="25" t="s">
        <v>10</v>
      </c>
      <c r="O66" s="26"/>
      <c r="P66" s="27"/>
    </row>
    <row r="67" spans="1:22" x14ac:dyDescent="0.25">
      <c r="A67" t="s">
        <v>8</v>
      </c>
      <c r="B67" s="34" t="s">
        <v>6</v>
      </c>
      <c r="C67" s="26"/>
      <c r="D67" s="27"/>
      <c r="E67" s="34" t="s">
        <v>6</v>
      </c>
      <c r="F67" s="26"/>
      <c r="G67" s="27"/>
      <c r="H67" s="34" t="s">
        <v>6</v>
      </c>
      <c r="I67" s="26"/>
      <c r="J67" s="27"/>
      <c r="K67" s="34" t="s">
        <v>3</v>
      </c>
      <c r="L67" s="26"/>
      <c r="M67" s="27"/>
      <c r="N67" s="25" t="s">
        <v>3</v>
      </c>
      <c r="O67" s="26"/>
      <c r="P67" s="27"/>
    </row>
    <row r="68" spans="1:22" x14ac:dyDescent="0.25">
      <c r="A68" t="s">
        <v>11</v>
      </c>
      <c r="B68" s="34" t="s">
        <v>3</v>
      </c>
      <c r="C68" s="26"/>
      <c r="D68" s="27"/>
      <c r="E68" s="34" t="s">
        <v>10</v>
      </c>
      <c r="F68" s="26"/>
      <c r="G68" s="27"/>
      <c r="H68" s="34" t="s">
        <v>3</v>
      </c>
      <c r="I68" s="26"/>
      <c r="J68" s="27"/>
      <c r="K68" s="34" t="s">
        <v>6</v>
      </c>
      <c r="L68" s="26"/>
      <c r="M68" s="27"/>
      <c r="N68" s="25" t="s">
        <v>3</v>
      </c>
      <c r="O68" s="26"/>
      <c r="P68" s="27"/>
    </row>
    <row r="69" spans="1:22" x14ac:dyDescent="0.25"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</row>
    <row r="70" spans="1:22" x14ac:dyDescent="0.25">
      <c r="A70" t="s">
        <v>1</v>
      </c>
      <c r="B70" s="38">
        <v>1</v>
      </c>
      <c r="C70" s="39">
        <v>2</v>
      </c>
      <c r="D70" s="40">
        <v>5</v>
      </c>
      <c r="E70" s="38">
        <v>1</v>
      </c>
      <c r="F70" s="39">
        <v>2</v>
      </c>
      <c r="G70" s="40">
        <v>5</v>
      </c>
      <c r="H70" s="38">
        <v>1</v>
      </c>
      <c r="I70" s="39">
        <v>2</v>
      </c>
      <c r="J70" s="40">
        <v>5</v>
      </c>
      <c r="K70" s="38">
        <v>3</v>
      </c>
      <c r="L70" s="39">
        <v>5</v>
      </c>
      <c r="M70" s="40">
        <v>7</v>
      </c>
      <c r="N70" s="38">
        <v>3</v>
      </c>
      <c r="O70" s="39">
        <v>5</v>
      </c>
      <c r="P70" s="40">
        <v>7</v>
      </c>
    </row>
    <row r="71" spans="1:22" x14ac:dyDescent="0.25">
      <c r="A71" t="s">
        <v>4</v>
      </c>
      <c r="B71" s="38">
        <v>5</v>
      </c>
      <c r="C71" s="39">
        <v>7</v>
      </c>
      <c r="D71" s="40">
        <v>9</v>
      </c>
      <c r="E71" s="38">
        <v>3</v>
      </c>
      <c r="F71" s="39">
        <v>5</v>
      </c>
      <c r="G71" s="40">
        <v>7</v>
      </c>
      <c r="H71" s="38">
        <v>7</v>
      </c>
      <c r="I71" s="39">
        <v>8</v>
      </c>
      <c r="J71" s="40">
        <v>9</v>
      </c>
      <c r="K71" s="38">
        <v>5</v>
      </c>
      <c r="L71" s="39">
        <v>7</v>
      </c>
      <c r="M71" s="40">
        <v>9</v>
      </c>
      <c r="N71" s="38">
        <v>1</v>
      </c>
      <c r="O71" s="39">
        <v>2</v>
      </c>
      <c r="P71" s="40">
        <v>5</v>
      </c>
    </row>
    <row r="72" spans="1:22" x14ac:dyDescent="0.25">
      <c r="A72" t="s">
        <v>8</v>
      </c>
      <c r="B72" s="38">
        <v>3</v>
      </c>
      <c r="C72" s="39">
        <v>5</v>
      </c>
      <c r="D72" s="40">
        <v>7</v>
      </c>
      <c r="E72" s="38">
        <v>3</v>
      </c>
      <c r="F72" s="39">
        <v>5</v>
      </c>
      <c r="G72" s="40">
        <v>7</v>
      </c>
      <c r="H72" s="38">
        <v>3</v>
      </c>
      <c r="I72" s="39">
        <v>5</v>
      </c>
      <c r="J72" s="40">
        <v>7</v>
      </c>
      <c r="K72" s="38">
        <v>5</v>
      </c>
      <c r="L72" s="39">
        <v>7</v>
      </c>
      <c r="M72" s="40">
        <v>9</v>
      </c>
      <c r="N72" s="38">
        <v>5</v>
      </c>
      <c r="O72" s="39">
        <v>7</v>
      </c>
      <c r="P72" s="40">
        <v>9</v>
      </c>
    </row>
    <row r="73" spans="1:22" x14ac:dyDescent="0.25">
      <c r="A73" t="s">
        <v>11</v>
      </c>
      <c r="B73" s="38">
        <v>5</v>
      </c>
      <c r="C73" s="39">
        <v>7</v>
      </c>
      <c r="D73" s="40">
        <v>9</v>
      </c>
      <c r="E73" s="38">
        <v>1</v>
      </c>
      <c r="F73" s="39">
        <v>2</v>
      </c>
      <c r="G73" s="40">
        <v>5</v>
      </c>
      <c r="H73" s="38">
        <v>5</v>
      </c>
      <c r="I73" s="39">
        <v>7</v>
      </c>
      <c r="J73" s="40">
        <v>9</v>
      </c>
      <c r="K73" s="38">
        <v>3</v>
      </c>
      <c r="L73" s="39">
        <v>5</v>
      </c>
      <c r="M73" s="40">
        <v>7</v>
      </c>
      <c r="N73" s="38">
        <v>5</v>
      </c>
      <c r="O73" s="39">
        <v>7</v>
      </c>
      <c r="P73" s="40">
        <v>9</v>
      </c>
    </row>
    <row r="75" spans="1:22" ht="15.75" thickBot="1" x14ac:dyDescent="0.3"/>
    <row r="76" spans="1:22" ht="15.75" thickBot="1" x14ac:dyDescent="0.3">
      <c r="A76" s="45" t="s">
        <v>38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7"/>
    </row>
    <row r="77" spans="1:22" ht="15.75" thickBot="1" x14ac:dyDescent="0.3">
      <c r="A77" s="17"/>
      <c r="B77" s="23" t="s">
        <v>14</v>
      </c>
      <c r="C77" s="23"/>
      <c r="D77" s="23"/>
      <c r="E77" s="23" t="s">
        <v>16</v>
      </c>
      <c r="F77" s="23"/>
      <c r="G77" s="23"/>
      <c r="H77" s="23" t="s">
        <v>18</v>
      </c>
      <c r="I77" s="23"/>
      <c r="J77" s="23"/>
      <c r="K77" s="23" t="s">
        <v>19</v>
      </c>
      <c r="L77" s="23"/>
      <c r="M77" s="23"/>
      <c r="N77" s="23" t="s">
        <v>20</v>
      </c>
      <c r="O77" s="23"/>
      <c r="P77" s="23"/>
    </row>
    <row r="78" spans="1:22" x14ac:dyDescent="0.25">
      <c r="A78" s="18" t="s">
        <v>39</v>
      </c>
      <c r="B78" s="48">
        <v>5</v>
      </c>
      <c r="C78" s="49">
        <v>7</v>
      </c>
      <c r="D78" s="50">
        <v>9</v>
      </c>
      <c r="E78" s="48">
        <v>5</v>
      </c>
      <c r="F78" s="49">
        <v>7</v>
      </c>
      <c r="G78" s="50">
        <v>9</v>
      </c>
      <c r="H78" s="48">
        <v>3</v>
      </c>
      <c r="I78" s="49">
        <v>5</v>
      </c>
      <c r="J78" s="50">
        <v>7</v>
      </c>
      <c r="K78" s="48">
        <v>5</v>
      </c>
      <c r="L78" s="49">
        <v>7</v>
      </c>
      <c r="M78" s="50">
        <v>9</v>
      </c>
      <c r="N78" s="48">
        <v>1</v>
      </c>
      <c r="O78" s="49">
        <v>2</v>
      </c>
      <c r="P78" s="50">
        <v>5</v>
      </c>
    </row>
    <row r="79" spans="1:22" x14ac:dyDescent="0.25">
      <c r="B79" s="51" t="s">
        <v>40</v>
      </c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</row>
    <row r="80" spans="1:22" x14ac:dyDescent="0.25">
      <c r="A80" t="s">
        <v>1</v>
      </c>
      <c r="B80" s="38">
        <f t="shared" ref="B80:B83" si="0">MIN($B44,$B57,$B70)</f>
        <v>1</v>
      </c>
      <c r="C80" s="39">
        <f t="shared" ref="C80:C83" si="1">AVERAGE($C44,$C57,$C70)</f>
        <v>3</v>
      </c>
      <c r="D80" s="40">
        <f t="shared" ref="D80:D83" si="2">MAX($D44,$D57,$D70)</f>
        <v>7</v>
      </c>
      <c r="E80" s="39">
        <f t="shared" ref="E80:E83" si="3">MIN($E44,$E57,$E70)</f>
        <v>1</v>
      </c>
      <c r="F80" s="39">
        <f t="shared" ref="F80:F83" si="4">AVERAGE($F44,$F57,$F70)</f>
        <v>4</v>
      </c>
      <c r="G80" s="40">
        <f t="shared" ref="G80:G83" si="5">MAX($G44,$G57,$G70)</f>
        <v>7</v>
      </c>
      <c r="H80" s="39">
        <f t="shared" ref="H80:H83" si="6">MIN($H44,$H57,$H70)</f>
        <v>1</v>
      </c>
      <c r="I80" s="39">
        <f t="shared" ref="I80:I83" si="7">AVERAGE($I44,$I57,$I70)</f>
        <v>3</v>
      </c>
      <c r="J80" s="40">
        <f t="shared" ref="J80:J83" si="8">MAX($J44,$J57,$J70)</f>
        <v>7</v>
      </c>
      <c r="K80" s="39">
        <f t="shared" ref="K80:K83" si="9">MIN($K44,$K57,$K70)</f>
        <v>1</v>
      </c>
      <c r="L80" s="39">
        <f t="shared" ref="L80:L83" si="10">AVERAGE($L44,$L57,$L70)</f>
        <v>3</v>
      </c>
      <c r="M80" s="40">
        <f t="shared" ref="M80:M83" si="11">MAX($M44,$M57,$M70)</f>
        <v>7</v>
      </c>
      <c r="N80" s="39">
        <f t="shared" ref="N80:N83" si="12">MIN($N44,$N57,$N70)</f>
        <v>3</v>
      </c>
      <c r="O80" s="39">
        <f t="shared" ref="O80:O83" si="13">AVERAGE($O44,$O57,$O70)</f>
        <v>5</v>
      </c>
      <c r="P80" s="40">
        <f t="shared" ref="P80:P83" si="14">MAX($P44,$P57,$P70)</f>
        <v>7</v>
      </c>
      <c r="R80" s="44" t="s">
        <v>41</v>
      </c>
      <c r="S80" s="44"/>
      <c r="T80" s="44"/>
      <c r="U80" s="44"/>
      <c r="V80" s="44"/>
    </row>
    <row r="81" spans="1:19" x14ac:dyDescent="0.25">
      <c r="A81" t="s">
        <v>4</v>
      </c>
      <c r="B81" s="38">
        <f t="shared" si="0"/>
        <v>5</v>
      </c>
      <c r="C81" s="39">
        <f t="shared" si="1"/>
        <v>7</v>
      </c>
      <c r="D81" s="40">
        <f t="shared" si="2"/>
        <v>9</v>
      </c>
      <c r="E81" s="39">
        <f t="shared" si="3"/>
        <v>3</v>
      </c>
      <c r="F81" s="39">
        <f t="shared" si="4"/>
        <v>5.666666666666667</v>
      </c>
      <c r="G81" s="40">
        <f t="shared" si="5"/>
        <v>9</v>
      </c>
      <c r="H81" s="39">
        <f t="shared" si="6"/>
        <v>3</v>
      </c>
      <c r="I81" s="39">
        <f t="shared" si="7"/>
        <v>6</v>
      </c>
      <c r="J81" s="40">
        <f t="shared" si="8"/>
        <v>9</v>
      </c>
      <c r="K81" s="39">
        <f t="shared" si="9"/>
        <v>5</v>
      </c>
      <c r="L81" s="39">
        <f t="shared" si="10"/>
        <v>7</v>
      </c>
      <c r="M81" s="40">
        <f t="shared" si="11"/>
        <v>9</v>
      </c>
      <c r="N81" s="39">
        <f t="shared" si="12"/>
        <v>1</v>
      </c>
      <c r="O81" s="39">
        <f t="shared" si="13"/>
        <v>4</v>
      </c>
      <c r="P81" s="40">
        <f t="shared" si="14"/>
        <v>7</v>
      </c>
    </row>
    <row r="82" spans="1:19" x14ac:dyDescent="0.25">
      <c r="A82" t="s">
        <v>8</v>
      </c>
      <c r="B82" s="38">
        <f t="shared" si="0"/>
        <v>1</v>
      </c>
      <c r="C82" s="39">
        <f t="shared" si="1"/>
        <v>3</v>
      </c>
      <c r="D82" s="40">
        <f t="shared" si="2"/>
        <v>7</v>
      </c>
      <c r="E82" s="39">
        <f t="shared" si="3"/>
        <v>3</v>
      </c>
      <c r="F82" s="39">
        <f t="shared" si="4"/>
        <v>6.333333333333333</v>
      </c>
      <c r="G82" s="40">
        <f t="shared" si="5"/>
        <v>9</v>
      </c>
      <c r="H82" s="39">
        <f t="shared" si="6"/>
        <v>1</v>
      </c>
      <c r="I82" s="39">
        <f t="shared" si="7"/>
        <v>3</v>
      </c>
      <c r="J82" s="40">
        <f t="shared" si="8"/>
        <v>7</v>
      </c>
      <c r="K82" s="39">
        <f t="shared" si="9"/>
        <v>5</v>
      </c>
      <c r="L82" s="39">
        <f t="shared" si="10"/>
        <v>7</v>
      </c>
      <c r="M82" s="40">
        <f t="shared" si="11"/>
        <v>9</v>
      </c>
      <c r="N82" s="39">
        <f t="shared" si="12"/>
        <v>3</v>
      </c>
      <c r="O82" s="39">
        <f t="shared" si="13"/>
        <v>5.666666666666667</v>
      </c>
      <c r="P82" s="40">
        <f t="shared" si="14"/>
        <v>9</v>
      </c>
    </row>
    <row r="83" spans="1:19" x14ac:dyDescent="0.25">
      <c r="A83" t="s">
        <v>11</v>
      </c>
      <c r="B83" s="38">
        <f t="shared" si="0"/>
        <v>5</v>
      </c>
      <c r="C83" s="39">
        <f t="shared" si="1"/>
        <v>7</v>
      </c>
      <c r="D83" s="40">
        <f t="shared" si="2"/>
        <v>9</v>
      </c>
      <c r="E83" s="39">
        <f t="shared" si="3"/>
        <v>1</v>
      </c>
      <c r="F83" s="39">
        <f t="shared" si="4"/>
        <v>3</v>
      </c>
      <c r="G83" s="40">
        <f t="shared" si="5"/>
        <v>7</v>
      </c>
      <c r="H83" s="39">
        <f t="shared" si="6"/>
        <v>5</v>
      </c>
      <c r="I83" s="39">
        <f t="shared" si="7"/>
        <v>7</v>
      </c>
      <c r="J83" s="40">
        <f t="shared" si="8"/>
        <v>9</v>
      </c>
      <c r="K83" s="39">
        <f t="shared" si="9"/>
        <v>1</v>
      </c>
      <c r="L83" s="39">
        <f t="shared" si="10"/>
        <v>3</v>
      </c>
      <c r="M83" s="40">
        <f t="shared" si="11"/>
        <v>7</v>
      </c>
      <c r="N83" s="39">
        <f t="shared" si="12"/>
        <v>3</v>
      </c>
      <c r="O83" s="39">
        <f t="shared" si="13"/>
        <v>5.666666666666667</v>
      </c>
      <c r="P83" s="40">
        <f t="shared" si="14"/>
        <v>9</v>
      </c>
    </row>
    <row r="86" spans="1:19" x14ac:dyDescent="0.25">
      <c r="A86" s="14"/>
      <c r="B86" s="37" t="s">
        <v>15</v>
      </c>
      <c r="C86" s="23"/>
      <c r="D86" s="23"/>
      <c r="E86" s="23" t="s">
        <v>17</v>
      </c>
      <c r="F86" s="23"/>
      <c r="G86" s="23"/>
      <c r="H86" s="23" t="s">
        <v>15</v>
      </c>
      <c r="I86" s="23"/>
      <c r="J86" s="23"/>
      <c r="K86" s="23" t="s">
        <v>17</v>
      </c>
      <c r="L86" s="23"/>
      <c r="M86" s="23"/>
      <c r="N86" s="37" t="s">
        <v>15</v>
      </c>
      <c r="O86" s="23"/>
      <c r="P86" s="23"/>
    </row>
    <row r="87" spans="1:19" x14ac:dyDescent="0.25">
      <c r="B87" s="23" t="s">
        <v>14</v>
      </c>
      <c r="C87" s="23"/>
      <c r="D87" s="23"/>
      <c r="E87" s="23" t="s">
        <v>16</v>
      </c>
      <c r="F87" s="23"/>
      <c r="G87" s="23"/>
      <c r="H87" s="23" t="s">
        <v>18</v>
      </c>
      <c r="I87" s="23"/>
      <c r="J87" s="23"/>
      <c r="K87" s="23" t="s">
        <v>19</v>
      </c>
      <c r="L87" s="23"/>
      <c r="M87" s="23"/>
      <c r="N87" s="23" t="s">
        <v>20</v>
      </c>
      <c r="O87" s="23"/>
      <c r="P87" s="23"/>
    </row>
    <row r="88" spans="1:19" x14ac:dyDescent="0.25">
      <c r="A88" s="18" t="s">
        <v>39</v>
      </c>
      <c r="B88" s="48">
        <v>5</v>
      </c>
      <c r="C88" s="49">
        <v>7</v>
      </c>
      <c r="D88" s="50">
        <v>9</v>
      </c>
      <c r="E88" s="48">
        <v>5</v>
      </c>
      <c r="F88" s="49">
        <v>7</v>
      </c>
      <c r="G88" s="50">
        <v>9</v>
      </c>
      <c r="H88" s="48">
        <v>3</v>
      </c>
      <c r="I88" s="49">
        <v>5</v>
      </c>
      <c r="J88" s="50">
        <v>7</v>
      </c>
      <c r="K88" s="48">
        <v>5</v>
      </c>
      <c r="L88" s="49">
        <v>7</v>
      </c>
      <c r="M88" s="50">
        <v>9</v>
      </c>
      <c r="N88" s="48">
        <v>1</v>
      </c>
      <c r="O88" s="49">
        <v>2</v>
      </c>
      <c r="P88" s="50">
        <v>5</v>
      </c>
    </row>
    <row r="89" spans="1:19" x14ac:dyDescent="0.25">
      <c r="B89" s="52" t="s">
        <v>42</v>
      </c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</row>
    <row r="90" spans="1:19" x14ac:dyDescent="0.25">
      <c r="A90" t="s">
        <v>1</v>
      </c>
      <c r="B90" s="38">
        <f>$B80/MAX($D$80:$D$83)</f>
        <v>0.1111111111111111</v>
      </c>
      <c r="C90" s="39">
        <f>$C80/MAX($D$80:$D$83)</f>
        <v>0.33333333333333331</v>
      </c>
      <c r="D90" s="40">
        <f>$D80/MAX($D$80:$D$83)</f>
        <v>0.77777777777777779</v>
      </c>
      <c r="E90" s="38">
        <f>MIN($E$80:$E$83)/$G80</f>
        <v>0.14285714285714285</v>
      </c>
      <c r="F90" s="39">
        <f>MIN($E$80:$E$83)/$F80</f>
        <v>0.25</v>
      </c>
      <c r="G90" s="40">
        <f>MIN($E$80:$E$83)/$E80</f>
        <v>1</v>
      </c>
      <c r="H90" s="38">
        <f>$H80/MAX($J$80:$J$83)</f>
        <v>0.1111111111111111</v>
      </c>
      <c r="I90" s="39">
        <f>$I80/MAX($J$80:$J$83)</f>
        <v>0.33333333333333331</v>
      </c>
      <c r="J90" s="40">
        <f>$J80/MAX($J$80:$J$83)</f>
        <v>0.77777777777777779</v>
      </c>
      <c r="K90" s="38">
        <f>MIN($K$80:$K$83)/$M80</f>
        <v>0.14285714285714285</v>
      </c>
      <c r="L90" s="39">
        <f>MIN($K$80:$K$83)/$L80</f>
        <v>0.33333333333333331</v>
      </c>
      <c r="M90" s="40">
        <f>MIN($K$80:$K$83)/$K80</f>
        <v>1</v>
      </c>
      <c r="N90" s="38">
        <f>$N80/MAX($P$80:$P$83)</f>
        <v>0.33333333333333331</v>
      </c>
      <c r="O90" s="39">
        <f>$O80/MAX($P$80:$P$83)</f>
        <v>0.55555555555555558</v>
      </c>
      <c r="P90" s="40">
        <f>$P80/MAX($P$80:$P$83)</f>
        <v>0.77777777777777779</v>
      </c>
    </row>
    <row r="91" spans="1:19" x14ac:dyDescent="0.25">
      <c r="A91" t="s">
        <v>4</v>
      </c>
      <c r="B91" s="38">
        <f t="shared" ref="B91:B93" si="15">$B81/MAX($D$80:$D$83)</f>
        <v>0.55555555555555558</v>
      </c>
      <c r="C91" s="39">
        <f>$C81/MAX($D$80:$D$83)</f>
        <v>0.77777777777777779</v>
      </c>
      <c r="D91" s="40">
        <f>$D81/MAX($D$80:$D$83)</f>
        <v>1</v>
      </c>
      <c r="E91" s="38">
        <f t="shared" ref="E90:E93" si="16">MIN($E$80:$E$83)/$G81</f>
        <v>0.1111111111111111</v>
      </c>
      <c r="F91" s="39">
        <f t="shared" ref="F90:F93" si="17">MIN($E$80:$E$83)/$F81</f>
        <v>0.1764705882352941</v>
      </c>
      <c r="G91" s="40">
        <f t="shared" ref="G90:G93" si="18">MIN($E$80:$E$83)/$E81</f>
        <v>0.33333333333333331</v>
      </c>
      <c r="H91" s="38">
        <f>$H81/MAX($J$80:$J$83)</f>
        <v>0.33333333333333331</v>
      </c>
      <c r="I91" s="39">
        <f t="shared" ref="I90:I93" si="19">$I81/MAX($J$80:$J$83)</f>
        <v>0.66666666666666663</v>
      </c>
      <c r="J91" s="40">
        <f t="shared" ref="J90:J93" si="20">$J81/MAX($J$80:$J$83)</f>
        <v>1</v>
      </c>
      <c r="K91" s="38">
        <f t="shared" ref="K91:K93" si="21">MIN($K$80:$K$83)/$M81</f>
        <v>0.1111111111111111</v>
      </c>
      <c r="L91" s="39">
        <f t="shared" ref="L91:L93" si="22">MIN($K$80:$K$83)/$L81</f>
        <v>0.14285714285714285</v>
      </c>
      <c r="M91" s="40">
        <f t="shared" ref="M91:M93" si="23">MIN($K$80:$K$83)/$K81</f>
        <v>0.2</v>
      </c>
      <c r="N91" s="38">
        <f t="shared" ref="N91:N93" si="24">$N81/MAX($P$80:$P$83)</f>
        <v>0.1111111111111111</v>
      </c>
      <c r="O91" s="39">
        <f t="shared" ref="O91:O93" si="25">$O81/MAX($P$80:$P$83)</f>
        <v>0.44444444444444442</v>
      </c>
      <c r="P91" s="40">
        <f t="shared" ref="P91:P93" si="26">$P81/MAX($P$80:$P$83)</f>
        <v>0.77777777777777779</v>
      </c>
    </row>
    <row r="92" spans="1:19" x14ac:dyDescent="0.25">
      <c r="A92" t="s">
        <v>8</v>
      </c>
      <c r="B92" s="38">
        <f>$B82/MAX($D$80:$D$83)</f>
        <v>0.1111111111111111</v>
      </c>
      <c r="C92" s="39">
        <f>$C82/MAX($D$80:$D$83)</f>
        <v>0.33333333333333331</v>
      </c>
      <c r="D92" s="40">
        <f>$D82/MAX($D$80:$D$83)</f>
        <v>0.77777777777777779</v>
      </c>
      <c r="E92" s="38">
        <f t="shared" si="16"/>
        <v>0.1111111111111111</v>
      </c>
      <c r="F92" s="39">
        <f t="shared" si="17"/>
        <v>0.15789473684210528</v>
      </c>
      <c r="G92" s="40">
        <f t="shared" si="18"/>
        <v>0.33333333333333331</v>
      </c>
      <c r="H92" s="38">
        <f t="shared" ref="H90:H93" si="27">$H82/MAX($J$80:$J$83)</f>
        <v>0.1111111111111111</v>
      </c>
      <c r="I92" s="39">
        <f t="shared" si="19"/>
        <v>0.33333333333333331</v>
      </c>
      <c r="J92" s="40">
        <f>$J82/MAX($J$80:$J$83)</f>
        <v>0.77777777777777779</v>
      </c>
      <c r="K92" s="38">
        <f>MIN($K$80:$K$83)/$M82</f>
        <v>0.1111111111111111</v>
      </c>
      <c r="L92" s="39">
        <f t="shared" si="22"/>
        <v>0.14285714285714285</v>
      </c>
      <c r="M92" s="40">
        <f t="shared" si="23"/>
        <v>0.2</v>
      </c>
      <c r="N92" s="38">
        <f t="shared" si="24"/>
        <v>0.33333333333333331</v>
      </c>
      <c r="O92" s="39">
        <f t="shared" si="25"/>
        <v>0.62962962962962965</v>
      </c>
      <c r="P92" s="40">
        <f t="shared" si="26"/>
        <v>1</v>
      </c>
      <c r="R92" s="44" t="s">
        <v>43</v>
      </c>
      <c r="S92" s="44"/>
    </row>
    <row r="93" spans="1:19" x14ac:dyDescent="0.25">
      <c r="A93" t="s">
        <v>11</v>
      </c>
      <c r="B93" s="38">
        <f t="shared" si="15"/>
        <v>0.55555555555555558</v>
      </c>
      <c r="C93" s="39">
        <f>$C83/MAX($D$80:$D$83)</f>
        <v>0.77777777777777779</v>
      </c>
      <c r="D93" s="40">
        <f t="shared" ref="D91:D93" si="28">$D83/MAX($D$80:$D$83)</f>
        <v>1</v>
      </c>
      <c r="E93" s="38">
        <f t="shared" si="16"/>
        <v>0.14285714285714285</v>
      </c>
      <c r="F93" s="39">
        <f t="shared" si="17"/>
        <v>0.33333333333333331</v>
      </c>
      <c r="G93" s="40">
        <f t="shared" si="18"/>
        <v>1</v>
      </c>
      <c r="H93" s="38">
        <f t="shared" si="27"/>
        <v>0.55555555555555558</v>
      </c>
      <c r="I93" s="39">
        <f t="shared" si="19"/>
        <v>0.77777777777777779</v>
      </c>
      <c r="J93" s="40">
        <f t="shared" si="20"/>
        <v>1</v>
      </c>
      <c r="K93" s="38">
        <f t="shared" si="21"/>
        <v>0.14285714285714285</v>
      </c>
      <c r="L93" s="39">
        <f t="shared" si="22"/>
        <v>0.33333333333333331</v>
      </c>
      <c r="M93" s="40">
        <f t="shared" si="23"/>
        <v>1</v>
      </c>
      <c r="N93" s="38">
        <f t="shared" si="24"/>
        <v>0.33333333333333331</v>
      </c>
      <c r="O93" s="39">
        <f t="shared" si="25"/>
        <v>0.62962962962962965</v>
      </c>
      <c r="P93" s="40">
        <f t="shared" si="26"/>
        <v>1</v>
      </c>
    </row>
    <row r="95" spans="1:19" ht="15.75" thickBot="1" x14ac:dyDescent="0.3"/>
    <row r="96" spans="1:19" ht="15.75" thickBot="1" x14ac:dyDescent="0.3">
      <c r="A96" s="45" t="s">
        <v>44</v>
      </c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7"/>
    </row>
    <row r="97" spans="1:22" x14ac:dyDescent="0.25">
      <c r="A97" s="14"/>
      <c r="B97" s="37" t="s">
        <v>15</v>
      </c>
      <c r="C97" s="23"/>
      <c r="D97" s="23"/>
      <c r="E97" s="23" t="s">
        <v>17</v>
      </c>
      <c r="F97" s="23"/>
      <c r="G97" s="23"/>
      <c r="H97" s="23" t="s">
        <v>15</v>
      </c>
      <c r="I97" s="23"/>
      <c r="J97" s="23"/>
      <c r="K97" s="23" t="s">
        <v>17</v>
      </c>
      <c r="L97" s="23"/>
      <c r="M97" s="23"/>
      <c r="N97" s="37" t="s">
        <v>15</v>
      </c>
      <c r="O97" s="23"/>
      <c r="P97" s="23"/>
    </row>
    <row r="98" spans="1:22" x14ac:dyDescent="0.25">
      <c r="B98" s="23" t="s">
        <v>14</v>
      </c>
      <c r="C98" s="23"/>
      <c r="D98" s="23"/>
      <c r="E98" s="23" t="s">
        <v>16</v>
      </c>
      <c r="F98" s="23"/>
      <c r="G98" s="23"/>
      <c r="H98" s="23" t="s">
        <v>18</v>
      </c>
      <c r="I98" s="23"/>
      <c r="J98" s="23"/>
      <c r="K98" s="23" t="s">
        <v>19</v>
      </c>
      <c r="L98" s="23"/>
      <c r="M98" s="23"/>
      <c r="N98" s="23" t="s">
        <v>20</v>
      </c>
      <c r="O98" s="23"/>
      <c r="P98" s="23"/>
    </row>
    <row r="99" spans="1:22" x14ac:dyDescent="0.25">
      <c r="A99" s="18" t="s">
        <v>39</v>
      </c>
      <c r="B99" s="48">
        <v>5</v>
      </c>
      <c r="C99" s="49">
        <v>7</v>
      </c>
      <c r="D99" s="50">
        <v>9</v>
      </c>
      <c r="E99" s="48">
        <v>5</v>
      </c>
      <c r="F99" s="49">
        <v>7</v>
      </c>
      <c r="G99" s="50">
        <v>9</v>
      </c>
      <c r="H99" s="48">
        <v>3</v>
      </c>
      <c r="I99" s="49">
        <v>5</v>
      </c>
      <c r="J99" s="50">
        <v>7</v>
      </c>
      <c r="K99" s="48">
        <v>5</v>
      </c>
      <c r="L99" s="49">
        <v>7</v>
      </c>
      <c r="M99" s="50">
        <v>9</v>
      </c>
      <c r="N99" s="48">
        <v>1</v>
      </c>
      <c r="O99" s="49">
        <v>2</v>
      </c>
      <c r="P99" s="50">
        <v>5</v>
      </c>
    </row>
    <row r="100" spans="1:22" x14ac:dyDescent="0.25">
      <c r="B100" s="52" t="s">
        <v>45</v>
      </c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</row>
    <row r="101" spans="1:22" x14ac:dyDescent="0.25">
      <c r="A101" t="s">
        <v>1</v>
      </c>
      <c r="B101" s="38">
        <f t="shared" ref="B101:B104" si="29">$B90*$B$88</f>
        <v>0.55555555555555558</v>
      </c>
      <c r="C101" s="39">
        <f t="shared" ref="C101:C104" si="30">$C90*$C$88</f>
        <v>2.333333333333333</v>
      </c>
      <c r="D101" s="40">
        <f t="shared" ref="D101:D104" si="31">$D90*$D$88</f>
        <v>7</v>
      </c>
      <c r="E101" s="38">
        <f t="shared" ref="E101:E104" si="32">$E90*$E$88</f>
        <v>0.71428571428571419</v>
      </c>
      <c r="F101" s="39">
        <f t="shared" ref="F101:F104" si="33">$F90*$F$88</f>
        <v>1.75</v>
      </c>
      <c r="G101" s="40">
        <f t="shared" ref="G101:G104" si="34">$G90*$G$88</f>
        <v>9</v>
      </c>
      <c r="H101" s="38">
        <f t="shared" ref="H101:H104" si="35">$H90*$H$88</f>
        <v>0.33333333333333331</v>
      </c>
      <c r="I101" s="39">
        <f t="shared" ref="I101:I104" si="36">$I90*$I$88</f>
        <v>1.6666666666666665</v>
      </c>
      <c r="J101" s="40">
        <f t="shared" ref="J101:J104" si="37">$J90*$J$88</f>
        <v>5.4444444444444446</v>
      </c>
      <c r="K101" s="38">
        <f t="shared" ref="K101:K104" si="38">$K90*$K$88</f>
        <v>0.71428571428571419</v>
      </c>
      <c r="L101" s="39">
        <f t="shared" ref="L101:L104" si="39">$L90*$L$88</f>
        <v>2.333333333333333</v>
      </c>
      <c r="M101" s="40">
        <f t="shared" ref="M101:M104" si="40">$M90*$M$88</f>
        <v>9</v>
      </c>
      <c r="N101" s="38">
        <f>$N90*$N$88</f>
        <v>0.33333333333333331</v>
      </c>
      <c r="O101" s="39">
        <f t="shared" ref="O101:O104" si="41">$O90*$O$88</f>
        <v>1.1111111111111112</v>
      </c>
      <c r="P101" s="40">
        <f t="shared" ref="P101:P104" si="42">$P90*$P$88</f>
        <v>3.8888888888888888</v>
      </c>
    </row>
    <row r="102" spans="1:22" x14ac:dyDescent="0.25">
      <c r="A102" t="s">
        <v>4</v>
      </c>
      <c r="B102" s="38">
        <f t="shared" si="29"/>
        <v>2.7777777777777777</v>
      </c>
      <c r="C102" s="39">
        <f t="shared" si="30"/>
        <v>5.4444444444444446</v>
      </c>
      <c r="D102" s="40">
        <f t="shared" si="31"/>
        <v>9</v>
      </c>
      <c r="E102" s="38">
        <f t="shared" si="32"/>
        <v>0.55555555555555558</v>
      </c>
      <c r="F102" s="39">
        <f t="shared" si="33"/>
        <v>1.2352941176470587</v>
      </c>
      <c r="G102" s="40">
        <f t="shared" si="34"/>
        <v>3</v>
      </c>
      <c r="H102" s="38">
        <f t="shared" si="35"/>
        <v>1</v>
      </c>
      <c r="I102" s="39">
        <f t="shared" si="36"/>
        <v>3.333333333333333</v>
      </c>
      <c r="J102" s="40">
        <f t="shared" si="37"/>
        <v>7</v>
      </c>
      <c r="K102" s="38">
        <f t="shared" si="38"/>
        <v>0.55555555555555558</v>
      </c>
      <c r="L102" s="39">
        <f t="shared" si="39"/>
        <v>1</v>
      </c>
      <c r="M102" s="40">
        <f t="shared" si="40"/>
        <v>1.8</v>
      </c>
      <c r="N102" s="38">
        <f t="shared" ref="N102:N104" si="43">$N91*$N$88</f>
        <v>0.1111111111111111</v>
      </c>
      <c r="O102" s="39">
        <f t="shared" si="41"/>
        <v>0.88888888888888884</v>
      </c>
      <c r="P102" s="40">
        <f t="shared" si="42"/>
        <v>3.8888888888888888</v>
      </c>
    </row>
    <row r="103" spans="1:22" x14ac:dyDescent="0.25">
      <c r="A103" t="s">
        <v>8</v>
      </c>
      <c r="B103" s="38">
        <f t="shared" si="29"/>
        <v>0.55555555555555558</v>
      </c>
      <c r="C103" s="39">
        <f t="shared" si="30"/>
        <v>2.333333333333333</v>
      </c>
      <c r="D103" s="40">
        <f t="shared" si="31"/>
        <v>7</v>
      </c>
      <c r="E103" s="38">
        <f t="shared" si="32"/>
        <v>0.55555555555555558</v>
      </c>
      <c r="F103" s="39">
        <f>$F92*$F$88</f>
        <v>1.1052631578947369</v>
      </c>
      <c r="G103" s="40">
        <f t="shared" si="34"/>
        <v>3</v>
      </c>
      <c r="H103" s="38">
        <f t="shared" si="35"/>
        <v>0.33333333333333331</v>
      </c>
      <c r="I103" s="39">
        <f t="shared" si="36"/>
        <v>1.6666666666666665</v>
      </c>
      <c r="J103" s="40">
        <f t="shared" si="37"/>
        <v>5.4444444444444446</v>
      </c>
      <c r="K103" s="38">
        <f t="shared" si="38"/>
        <v>0.55555555555555558</v>
      </c>
      <c r="L103" s="39">
        <f t="shared" si="39"/>
        <v>1</v>
      </c>
      <c r="M103" s="40">
        <f t="shared" si="40"/>
        <v>1.8</v>
      </c>
      <c r="N103" s="38">
        <f t="shared" si="43"/>
        <v>0.33333333333333331</v>
      </c>
      <c r="O103" s="39">
        <f t="shared" si="41"/>
        <v>1.2592592592592593</v>
      </c>
      <c r="P103" s="40">
        <f t="shared" si="42"/>
        <v>5</v>
      </c>
    </row>
    <row r="104" spans="1:22" x14ac:dyDescent="0.25">
      <c r="A104" t="s">
        <v>11</v>
      </c>
      <c r="B104" s="38">
        <f t="shared" si="29"/>
        <v>2.7777777777777777</v>
      </c>
      <c r="C104" s="39">
        <f t="shared" si="30"/>
        <v>5.4444444444444446</v>
      </c>
      <c r="D104" s="40">
        <f t="shared" si="31"/>
        <v>9</v>
      </c>
      <c r="E104" s="38">
        <f t="shared" si="32"/>
        <v>0.71428571428571419</v>
      </c>
      <c r="F104" s="39">
        <f>$F93*$F$88</f>
        <v>2.333333333333333</v>
      </c>
      <c r="G104" s="40">
        <f>$G93*$G$88</f>
        <v>9</v>
      </c>
      <c r="H104" s="38">
        <f t="shared" si="35"/>
        <v>1.6666666666666667</v>
      </c>
      <c r="I104" s="39">
        <f t="shared" si="36"/>
        <v>3.8888888888888888</v>
      </c>
      <c r="J104" s="40">
        <f t="shared" si="37"/>
        <v>7</v>
      </c>
      <c r="K104" s="38">
        <f t="shared" si="38"/>
        <v>0.71428571428571419</v>
      </c>
      <c r="L104" s="39">
        <f t="shared" si="39"/>
        <v>2.333333333333333</v>
      </c>
      <c r="M104" s="40">
        <f t="shared" si="40"/>
        <v>9</v>
      </c>
      <c r="N104" s="38">
        <f t="shared" si="43"/>
        <v>0.33333333333333331</v>
      </c>
      <c r="O104" s="39">
        <f t="shared" si="41"/>
        <v>1.2592592592592593</v>
      </c>
      <c r="P104" s="40">
        <f t="shared" si="42"/>
        <v>5</v>
      </c>
      <c r="R104" s="44" t="s">
        <v>45</v>
      </c>
      <c r="S104" s="44"/>
      <c r="T104" s="44"/>
      <c r="U104" s="44"/>
      <c r="V104" s="44"/>
    </row>
    <row r="105" spans="1:22" x14ac:dyDescent="0.25">
      <c r="A105" s="18" t="s">
        <v>66</v>
      </c>
      <c r="B105" s="38">
        <f>MAX(B$101:B$104)</f>
        <v>2.7777777777777777</v>
      </c>
      <c r="C105" s="39">
        <f t="shared" ref="C105:P105" si="44">MAX(C$101:C$104)</f>
        <v>5.4444444444444446</v>
      </c>
      <c r="D105" s="40">
        <f t="shared" si="44"/>
        <v>9</v>
      </c>
      <c r="E105" s="38">
        <f t="shared" si="44"/>
        <v>0.71428571428571419</v>
      </c>
      <c r="F105" s="39">
        <f t="shared" si="44"/>
        <v>2.333333333333333</v>
      </c>
      <c r="G105" s="40">
        <f>MAX(G$101:G$104)</f>
        <v>9</v>
      </c>
      <c r="H105" s="38">
        <f t="shared" si="44"/>
        <v>1.6666666666666667</v>
      </c>
      <c r="I105" s="39">
        <f t="shared" si="44"/>
        <v>3.8888888888888888</v>
      </c>
      <c r="J105" s="40">
        <f t="shared" si="44"/>
        <v>7</v>
      </c>
      <c r="K105" s="38">
        <f t="shared" si="44"/>
        <v>0.71428571428571419</v>
      </c>
      <c r="L105" s="39">
        <f t="shared" si="44"/>
        <v>2.333333333333333</v>
      </c>
      <c r="M105" s="40">
        <f t="shared" si="44"/>
        <v>9</v>
      </c>
      <c r="N105" s="38">
        <f t="shared" si="44"/>
        <v>0.33333333333333331</v>
      </c>
      <c r="O105" s="39">
        <f t="shared" si="44"/>
        <v>1.2592592592592593</v>
      </c>
      <c r="P105" s="40">
        <f t="shared" si="44"/>
        <v>5</v>
      </c>
    </row>
    <row r="106" spans="1:22" x14ac:dyDescent="0.25">
      <c r="A106" s="18" t="s">
        <v>46</v>
      </c>
      <c r="B106" s="38">
        <f>MIN(B101:B105)</f>
        <v>0.55555555555555558</v>
      </c>
      <c r="C106" s="39">
        <f t="shared" ref="C106:P106" si="45">MIN(C101:C105)</f>
        <v>2.333333333333333</v>
      </c>
      <c r="D106" s="40">
        <f t="shared" si="45"/>
        <v>7</v>
      </c>
      <c r="E106" s="38">
        <f t="shared" si="45"/>
        <v>0.55555555555555558</v>
      </c>
      <c r="F106" s="39">
        <f t="shared" si="45"/>
        <v>1.1052631578947369</v>
      </c>
      <c r="G106" s="40">
        <f>MIN(G101:G105)</f>
        <v>3</v>
      </c>
      <c r="H106" s="38">
        <f t="shared" si="45"/>
        <v>0.33333333333333331</v>
      </c>
      <c r="I106" s="39">
        <f t="shared" si="45"/>
        <v>1.6666666666666665</v>
      </c>
      <c r="J106" s="40">
        <f t="shared" si="45"/>
        <v>5.4444444444444446</v>
      </c>
      <c r="K106" s="38">
        <f t="shared" si="45"/>
        <v>0.55555555555555558</v>
      </c>
      <c r="L106" s="39">
        <f t="shared" si="45"/>
        <v>1</v>
      </c>
      <c r="M106" s="40">
        <f t="shared" si="45"/>
        <v>1.8</v>
      </c>
      <c r="N106" s="38">
        <f t="shared" si="45"/>
        <v>0.1111111111111111</v>
      </c>
      <c r="O106" s="39">
        <f t="shared" si="45"/>
        <v>0.88888888888888884</v>
      </c>
      <c r="P106" s="40">
        <f t="shared" si="45"/>
        <v>3.8888888888888888</v>
      </c>
    </row>
    <row r="107" spans="1:22" x14ac:dyDescent="0.25">
      <c r="A107" s="32" t="s">
        <v>67</v>
      </c>
      <c r="C107" s="14"/>
    </row>
    <row r="109" spans="1:22" ht="15.75" thickBot="1" x14ac:dyDescent="0.3">
      <c r="B109" s="14"/>
      <c r="C109" s="14"/>
      <c r="D109" s="14"/>
      <c r="R109" s="44" t="s">
        <v>47</v>
      </c>
      <c r="S109" s="44"/>
      <c r="T109" s="44"/>
      <c r="U109" s="44"/>
    </row>
    <row r="110" spans="1:22" ht="15.75" thickBot="1" x14ac:dyDescent="0.3">
      <c r="A110" s="45" t="s">
        <v>48</v>
      </c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7"/>
    </row>
    <row r="111" spans="1:22" x14ac:dyDescent="0.25">
      <c r="A111" s="53" t="s">
        <v>49</v>
      </c>
      <c r="B111" s="53"/>
      <c r="C111" s="53"/>
      <c r="D111" s="53"/>
    </row>
    <row r="112" spans="1:22" x14ac:dyDescent="0.25">
      <c r="B112" s="19">
        <v>1</v>
      </c>
      <c r="C112" s="19">
        <v>2</v>
      </c>
      <c r="D112" s="19">
        <v>3</v>
      </c>
      <c r="E112" s="19">
        <v>4</v>
      </c>
      <c r="F112" s="19">
        <v>5</v>
      </c>
      <c r="G112" s="54" t="s">
        <v>50</v>
      </c>
      <c r="I112" s="44" t="s">
        <v>51</v>
      </c>
    </row>
    <row r="113" spans="1:7" x14ac:dyDescent="0.25">
      <c r="A113" t="s">
        <v>1</v>
      </c>
      <c r="B113" s="19">
        <f t="shared" ref="B113:B116" si="46">SQRT((1/3)*((($B101-$B$105)^2)+(($C101-$C$105)^2)+(($D101-$D$105)^2)))</f>
        <v>2.491136551229665</v>
      </c>
      <c r="C113" s="19">
        <f t="shared" ref="C113:C116" si="47">SQRT((1/3)*((($E101-$E$105)^2)+(($F101-$F$105)^2)+(($G101-$G$105)^2)))</f>
        <v>0.33678765702728153</v>
      </c>
      <c r="D113" s="19">
        <f t="shared" ref="D113:D116" si="48">SQRT((1/3)*((($H101-$H$105)^2)+(($I101-$I$105)^2)+(($J101-$J$105)^2)))</f>
        <v>1.7450694799095923</v>
      </c>
      <c r="E113" s="19">
        <f t="shared" ref="E113:E116" si="49">SQRT((1/3)*((($K101-$K$105)^2)+(($L101-$L$105)^2)+(($M101-$M$105)^2)))</f>
        <v>0</v>
      </c>
      <c r="F113" s="19">
        <f t="shared" ref="F113:F116" si="50">SQRT((1/3)*((($N101-$N$105)^2)+(($O101-$O$105)^2)+(($P101-$P$105)^2)))</f>
        <v>0.64717740355956332</v>
      </c>
      <c r="G113" s="19">
        <f t="shared" ref="G113:G123" si="51">SUM(B113:F113)</f>
        <v>5.2201710917261028</v>
      </c>
    </row>
    <row r="114" spans="1:7" x14ac:dyDescent="0.25">
      <c r="A114" t="s">
        <v>4</v>
      </c>
      <c r="B114" s="19">
        <f t="shared" si="46"/>
        <v>0</v>
      </c>
      <c r="C114" s="19">
        <f t="shared" si="47"/>
        <v>3.5228248789134846</v>
      </c>
      <c r="D114" s="19">
        <f t="shared" si="48"/>
        <v>0.50102775031365498</v>
      </c>
      <c r="E114" s="19">
        <f t="shared" si="49"/>
        <v>4.2285920840971913</v>
      </c>
      <c r="F114" s="19">
        <f t="shared" si="50"/>
        <v>0.68826468467982005</v>
      </c>
      <c r="G114" s="19">
        <f t="shared" si="51"/>
        <v>8.9407093980041505</v>
      </c>
    </row>
    <row r="115" spans="1:7" x14ac:dyDescent="0.25">
      <c r="A115" t="s">
        <v>8</v>
      </c>
      <c r="B115" s="19">
        <f t="shared" si="46"/>
        <v>2.491136551229665</v>
      </c>
      <c r="C115" s="19">
        <f t="shared" si="47"/>
        <v>3.5371057669179322</v>
      </c>
      <c r="D115" s="19">
        <f t="shared" si="48"/>
        <v>1.7450694799095923</v>
      </c>
      <c r="E115" s="19">
        <f t="shared" si="49"/>
        <v>4.2285920840971913</v>
      </c>
      <c r="F115" s="19">
        <f t="shared" si="50"/>
        <v>0</v>
      </c>
      <c r="G115" s="19">
        <f t="shared" si="51"/>
        <v>12.00190388215438</v>
      </c>
    </row>
    <row r="116" spans="1:7" x14ac:dyDescent="0.25">
      <c r="A116" t="s">
        <v>11</v>
      </c>
      <c r="B116" s="19">
        <f>SQRT((1/3)*((($B104-$B$105)^2)+(($C104-$C$105)^2)+(($D104-$D$105)^2)))</f>
        <v>0</v>
      </c>
      <c r="C116" s="19">
        <f t="shared" si="47"/>
        <v>0</v>
      </c>
      <c r="D116" s="19">
        <f t="shared" si="48"/>
        <v>0</v>
      </c>
      <c r="E116" s="19">
        <f t="shared" si="49"/>
        <v>0</v>
      </c>
      <c r="F116" s="19">
        <f t="shared" si="50"/>
        <v>0</v>
      </c>
      <c r="G116" s="19">
        <f t="shared" si="51"/>
        <v>0</v>
      </c>
    </row>
    <row r="118" spans="1:7" x14ac:dyDescent="0.25">
      <c r="A118" s="53" t="s">
        <v>52</v>
      </c>
      <c r="B118" s="53"/>
      <c r="C118" s="53"/>
      <c r="D118" s="53"/>
    </row>
    <row r="119" spans="1:7" x14ac:dyDescent="0.25">
      <c r="B119" s="19">
        <v>1</v>
      </c>
      <c r="C119" s="19">
        <v>2</v>
      </c>
      <c r="D119" s="19">
        <v>3</v>
      </c>
      <c r="E119" s="19">
        <v>4</v>
      </c>
      <c r="F119" s="19">
        <v>5</v>
      </c>
      <c r="G119" s="55" t="s">
        <v>50</v>
      </c>
    </row>
    <row r="120" spans="1:7" x14ac:dyDescent="0.25">
      <c r="A120" t="s">
        <v>1</v>
      </c>
      <c r="B120" s="19">
        <f t="shared" ref="B120:B123" si="52">SQRT((1/3)*((($B101-$B$106)^2)+(($C101-$C$106)^2)+(($D101-$D$106)^2)))</f>
        <v>0</v>
      </c>
      <c r="C120" s="19">
        <f t="shared" ref="C120:C123" si="53">SQRT((1/3)*((($E101-$E$106)^2)+(($F101-$F$106)^2)+(($G101-$G$106)^2)))</f>
        <v>3.4852489561416018</v>
      </c>
      <c r="D120" s="19">
        <f t="shared" ref="D120:D123" si="54">SQRT((1/3)*((($H101-$H$106)^2)+(($I101-$I$106)^2)+(($J101-$J$106)^2)))</f>
        <v>0</v>
      </c>
      <c r="E120" s="19">
        <f t="shared" ref="E120:E123" si="55">SQRT((1/3)*((($K101-$K$106)^2)+(($L101-$L$106)^2)+(($M101-$M$106)^2)))</f>
        <v>4.2285920840971913</v>
      </c>
      <c r="F120" s="19">
        <f t="shared" ref="F120:F123" si="56">SQRT((1/3)*((($N101-$N$106)^2)+(($O101-$O$106)^2)+(($P101-$P$106)^2)))</f>
        <v>0.18144368465060584</v>
      </c>
      <c r="G120" s="19">
        <f t="shared" si="51"/>
        <v>7.8952847248893994</v>
      </c>
    </row>
    <row r="121" spans="1:7" x14ac:dyDescent="0.25">
      <c r="A121" t="s">
        <v>4</v>
      </c>
      <c r="B121" s="19">
        <f t="shared" si="52"/>
        <v>2.491136551229665</v>
      </c>
      <c r="C121" s="19">
        <f t="shared" si="53"/>
        <v>7.5073409615988324E-2</v>
      </c>
      <c r="D121" s="19">
        <f t="shared" si="54"/>
        <v>1.3713710060424902</v>
      </c>
      <c r="E121" s="19">
        <f t="shared" si="55"/>
        <v>0</v>
      </c>
      <c r="F121" s="19">
        <f t="shared" si="56"/>
        <v>0</v>
      </c>
      <c r="G121" s="19">
        <f t="shared" si="51"/>
        <v>3.9375809668881434</v>
      </c>
    </row>
    <row r="122" spans="1:7" x14ac:dyDescent="0.25">
      <c r="A122" t="s">
        <v>8</v>
      </c>
      <c r="B122" s="19">
        <f t="shared" si="52"/>
        <v>0</v>
      </c>
      <c r="C122" s="19">
        <f t="shared" si="53"/>
        <v>0</v>
      </c>
      <c r="D122" s="19">
        <f t="shared" si="54"/>
        <v>0</v>
      </c>
      <c r="E122" s="19">
        <f t="shared" si="55"/>
        <v>0</v>
      </c>
      <c r="F122" s="19">
        <f t="shared" si="56"/>
        <v>0.68826468467982005</v>
      </c>
      <c r="G122" s="19">
        <f t="shared" si="51"/>
        <v>0.68826468467982005</v>
      </c>
    </row>
    <row r="123" spans="1:7" x14ac:dyDescent="0.25">
      <c r="A123" t="s">
        <v>11</v>
      </c>
      <c r="B123" s="19">
        <f t="shared" si="52"/>
        <v>2.491136551229665</v>
      </c>
      <c r="C123" s="19">
        <f t="shared" si="53"/>
        <v>3.5371057669179322</v>
      </c>
      <c r="D123" s="19">
        <f t="shared" si="54"/>
        <v>1.7450694799095923</v>
      </c>
      <c r="E123" s="19">
        <f t="shared" si="55"/>
        <v>4.2285920840971913</v>
      </c>
      <c r="F123" s="19">
        <f t="shared" si="56"/>
        <v>0.68826468467982005</v>
      </c>
      <c r="G123" s="19">
        <f t="shared" si="51"/>
        <v>12.690168566834201</v>
      </c>
    </row>
    <row r="125" spans="1:7" x14ac:dyDescent="0.25">
      <c r="A125" s="53" t="s">
        <v>53</v>
      </c>
      <c r="B125" s="53"/>
      <c r="C125" s="53"/>
      <c r="D125" s="53"/>
      <c r="E125" s="53"/>
    </row>
    <row r="126" spans="1:7" x14ac:dyDescent="0.25">
      <c r="A126" s="20" t="s">
        <v>54</v>
      </c>
      <c r="B126" s="20" t="s">
        <v>55</v>
      </c>
    </row>
    <row r="127" spans="1:7" x14ac:dyDescent="0.25">
      <c r="A127">
        <f t="shared" ref="A127:A130" si="57">G120/(G120+G113)</f>
        <v>0.60198325054682023</v>
      </c>
      <c r="B127">
        <v>2</v>
      </c>
      <c r="C127" s="21" t="s">
        <v>1</v>
      </c>
    </row>
    <row r="128" spans="1:7" x14ac:dyDescent="0.25">
      <c r="A128">
        <f t="shared" si="57"/>
        <v>0.30575339236195853</v>
      </c>
      <c r="B128">
        <v>4</v>
      </c>
      <c r="C128" s="21" t="s">
        <v>4</v>
      </c>
    </row>
    <row r="129" spans="1:3" x14ac:dyDescent="0.25">
      <c r="A129">
        <f t="shared" si="57"/>
        <v>5.4236055341187681E-2</v>
      </c>
      <c r="B129">
        <v>3</v>
      </c>
      <c r="C129" s="21" t="s">
        <v>8</v>
      </c>
    </row>
    <row r="130" spans="1:3" x14ac:dyDescent="0.25">
      <c r="A130">
        <f>G123/(G123+G116)</f>
        <v>1</v>
      </c>
      <c r="B130">
        <v>1</v>
      </c>
      <c r="C130" s="21" t="s">
        <v>11</v>
      </c>
    </row>
    <row r="132" spans="1:3" x14ac:dyDescent="0.25">
      <c r="A132" s="22" t="s">
        <v>56</v>
      </c>
    </row>
    <row r="133" spans="1:3" x14ac:dyDescent="0.25">
      <c r="A133" s="32" t="s">
        <v>65</v>
      </c>
    </row>
  </sheetData>
  <mergeCells count="111">
    <mergeCell ref="A110:P110"/>
    <mergeCell ref="A96:P96"/>
    <mergeCell ref="B100:P100"/>
    <mergeCell ref="H6:J6"/>
    <mergeCell ref="A76:P76"/>
    <mergeCell ref="A36:P36"/>
    <mergeCell ref="B89:P89"/>
    <mergeCell ref="B97:D97"/>
    <mergeCell ref="E97:G97"/>
    <mergeCell ref="H97:J97"/>
    <mergeCell ref="K97:M97"/>
    <mergeCell ref="N97:P97"/>
    <mergeCell ref="B98:D98"/>
    <mergeCell ref="E98:G98"/>
    <mergeCell ref="H98:J98"/>
    <mergeCell ref="K98:M98"/>
    <mergeCell ref="N98:P98"/>
    <mergeCell ref="B79:P79"/>
    <mergeCell ref="B86:D86"/>
    <mergeCell ref="E86:G86"/>
    <mergeCell ref="H86:J86"/>
    <mergeCell ref="K86:M86"/>
    <mergeCell ref="N86:P86"/>
    <mergeCell ref="B87:D87"/>
    <mergeCell ref="E87:G87"/>
    <mergeCell ref="H87:J87"/>
    <mergeCell ref="K87:M87"/>
    <mergeCell ref="N87:P87"/>
    <mergeCell ref="B68:D68"/>
    <mergeCell ref="E68:G68"/>
    <mergeCell ref="H68:J68"/>
    <mergeCell ref="K68:M68"/>
    <mergeCell ref="N68:P68"/>
    <mergeCell ref="B77:D77"/>
    <mergeCell ref="E77:G77"/>
    <mergeCell ref="H77:J77"/>
    <mergeCell ref="K77:M77"/>
    <mergeCell ref="N77:P77"/>
    <mergeCell ref="B66:D66"/>
    <mergeCell ref="E66:G66"/>
    <mergeCell ref="H66:J66"/>
    <mergeCell ref="K66:M66"/>
    <mergeCell ref="N66:P66"/>
    <mergeCell ref="B67:D67"/>
    <mergeCell ref="E67:G67"/>
    <mergeCell ref="H67:J67"/>
    <mergeCell ref="K67:M67"/>
    <mergeCell ref="N67:P67"/>
    <mergeCell ref="B63:D63"/>
    <mergeCell ref="E63:G63"/>
    <mergeCell ref="H63:J63"/>
    <mergeCell ref="K63:M63"/>
    <mergeCell ref="N63:P63"/>
    <mergeCell ref="B64:P64"/>
    <mergeCell ref="B65:D65"/>
    <mergeCell ref="E65:G65"/>
    <mergeCell ref="H65:J65"/>
    <mergeCell ref="K65:M65"/>
    <mergeCell ref="N65:P65"/>
    <mergeCell ref="B54:D54"/>
    <mergeCell ref="E54:G54"/>
    <mergeCell ref="H54:J54"/>
    <mergeCell ref="K54:M54"/>
    <mergeCell ref="N54:P54"/>
    <mergeCell ref="B55:D55"/>
    <mergeCell ref="E55:G55"/>
    <mergeCell ref="H55:J55"/>
    <mergeCell ref="K55:M55"/>
    <mergeCell ref="N55:P55"/>
    <mergeCell ref="B51:P51"/>
    <mergeCell ref="B52:D52"/>
    <mergeCell ref="E52:G52"/>
    <mergeCell ref="H52:J52"/>
    <mergeCell ref="K52:M52"/>
    <mergeCell ref="N52:P52"/>
    <mergeCell ref="B53:D53"/>
    <mergeCell ref="E53:G53"/>
    <mergeCell ref="H53:J53"/>
    <mergeCell ref="K53:M53"/>
    <mergeCell ref="N53:P53"/>
    <mergeCell ref="B42:D42"/>
    <mergeCell ref="E42:G42"/>
    <mergeCell ref="H42:J42"/>
    <mergeCell ref="K42:M42"/>
    <mergeCell ref="N42:P42"/>
    <mergeCell ref="B50:D50"/>
    <mergeCell ref="E50:G50"/>
    <mergeCell ref="H50:J50"/>
    <mergeCell ref="K50:M50"/>
    <mergeCell ref="N50:P50"/>
    <mergeCell ref="B40:D40"/>
    <mergeCell ref="E40:G40"/>
    <mergeCell ref="H40:J40"/>
    <mergeCell ref="K40:M40"/>
    <mergeCell ref="N40:P40"/>
    <mergeCell ref="B41:D41"/>
    <mergeCell ref="E41:G41"/>
    <mergeCell ref="H41:J41"/>
    <mergeCell ref="K41:M41"/>
    <mergeCell ref="N41:P41"/>
    <mergeCell ref="B37:D37"/>
    <mergeCell ref="E37:G37"/>
    <mergeCell ref="H37:J37"/>
    <mergeCell ref="K37:M37"/>
    <mergeCell ref="N37:P37"/>
    <mergeCell ref="B38:P38"/>
    <mergeCell ref="B39:D39"/>
    <mergeCell ref="E39:G39"/>
    <mergeCell ref="H39:J39"/>
    <mergeCell ref="K39:M39"/>
    <mergeCell ref="N39:P39"/>
  </mergeCells>
  <pageMargins left="0.7" right="0.7" top="0.75" bottom="0.75" header="0.3" footer="0.3"/>
  <pageSetup paperSize="9" orientation="portrait"/>
  <ignoredErrors>
    <ignoredError sqref="I2:I4" twoDigitTextYear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</dc:creator>
  <cp:lastModifiedBy>sanya</cp:lastModifiedBy>
  <cp:revision>1</cp:revision>
  <dcterms:created xsi:type="dcterms:W3CDTF">2025-09-27T11:10:58Z</dcterms:created>
  <dcterms:modified xsi:type="dcterms:W3CDTF">2025-11-09T19:00:23Z</dcterms:modified>
</cp:coreProperties>
</file>