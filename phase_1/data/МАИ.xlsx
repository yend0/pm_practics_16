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<sst xmlns="http://schemas.openxmlformats.org/spreadsheetml/2006/main" count="31" uniqueCount="31">
  <si>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 xml:space="preserve">Вес в долях</t>
  </si>
  <si>
    <t xml:space="preserve">Вес в процентах</t>
  </si>
  <si>
    <t>Концепции</t>
  </si>
  <si>
    <t>A</t>
  </si>
  <si>
    <t>LifeTracker</t>
  </si>
  <si>
    <t>B</t>
  </si>
  <si>
    <t>KnitWit</t>
  </si>
  <si>
    <t>C</t>
  </si>
  <si>
    <t xml:space="preserve">Shader Generator.Pro</t>
  </si>
  <si>
    <t>D</t>
  </si>
  <si>
    <t xml:space="preserve">Auto Import Catalog</t>
  </si>
  <si>
    <t>Сумма</t>
  </si>
  <si>
    <t>Критерии</t>
  </si>
  <si>
    <t>Тип</t>
  </si>
  <si>
    <t>Нормировка</t>
  </si>
  <si>
    <t xml:space="preserve">Потенциал прибыли</t>
  </si>
  <si>
    <t>benefit</t>
  </si>
  <si>
    <t>Выгодно</t>
  </si>
  <si>
    <t>е</t>
  </si>
  <si>
    <t>р</t>
  </si>
  <si>
    <r>
      <t>λ</t>
    </r>
    <r>
      <rPr>
        <sz val="10"/>
        <color indexed="64"/>
        <rFont val="Comic Sans MS"/>
      </rPr>
      <t>max</t>
    </r>
  </si>
  <si>
    <t>И</t>
  </si>
  <si>
    <t xml:space="preserve">Затраты на разработку и поддержку</t>
  </si>
  <si>
    <t>cost</t>
  </si>
  <si>
    <t>Невыгодно</t>
  </si>
  <si>
    <t xml:space="preserve">Рыночная привлекательность</t>
  </si>
  <si>
    <t xml:space="preserve">Сложность реализации</t>
  </si>
  <si>
    <t xml:space="preserve">Потенциал масштабирования и роста</t>
  </si>
  <si>
    <t xml:space="preserve">веса альтернатив</t>
  </si>
  <si>
    <t>Вывод:</t>
  </si>
  <si>
    <t xml:space="preserve">По результатам метода анализа иерархий наибольшую приоритетность имеет проект D - Auto Import Catalog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</si>
</sst>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00"/>
  </numFmts>
  <fonts count="5">
    <font>
      <sz val="10.000000"/>
      <color indexed="64"/>
      <name val="Arial"/>
      <scheme val="minor"/>
    </font>
    <font>
      <sz val="10.000000"/>
      <color indexed="64"/>
      <name val="Comic Sans MS"/>
    </font>
    <font>
      <sz val="11.000000"/>
      <color indexed="64"/>
      <name val="Comic Sans MS"/>
    </font>
    <font>
      <sz val="10.000000"/>
      <color theme="1"/>
      <name val="Comic Sans MS"/>
    </font>
    <font>
      <sz val="11.000000"/>
      <color theme="1"/>
      <name val="Comic Sans MS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FCE4D6"/>
      </patternFill>
    </fill>
    <fill>
      <patternFill patternType="solid">
        <fgColor rgb="FFD8E4BC"/>
        <bgColor rgb="FFD8E4BC"/>
      </patternFill>
    </fill>
    <fill>
      <patternFill patternType="solid">
        <fgColor rgb="FFBDD6EE"/>
        <bgColor rgb="FFBDD6EE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  <fill>
      <patternFill patternType="solid">
        <fgColor theme="6" tint="0.39997558519241921"/>
        <bgColor theme="5"/>
      </patternFill>
    </fill>
    <fill>
      <patternFill patternType="solid">
        <fgColor theme="0"/>
        <bgColor rgb="FFEAD1DC"/>
      </patternFill>
    </fill>
    <fill>
      <patternFill patternType="solid">
        <fgColor theme="6"/>
      </patternFill>
    </fill>
    <fill>
      <patternFill patternType="solid">
        <fgColor rgb="FF00B050"/>
        <bgColor rgb="FFF9CB9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/>
    <xf fontId="2" fillId="0" borderId="0" numFmtId="0" xfId="0" applyFont="1"/>
    <xf fontId="2" fillId="2" borderId="0" numFmtId="0" xfId="0" applyFont="1" applyFill="1" applyAlignment="1">
      <alignment horizontal="right"/>
    </xf>
    <xf fontId="3" fillId="2" borderId="0" numFmtId="0" xfId="0" applyFont="1" applyFill="1"/>
    <xf fontId="3" fillId="3" borderId="0" numFmtId="0" xfId="0" applyFont="1" applyFill="1"/>
    <xf fontId="4" fillId="4" borderId="0" numFmtId="0" xfId="0" applyFont="1" applyFill="1"/>
    <xf fontId="4" fillId="0" borderId="0" numFmtId="0" xfId="0" applyFont="1"/>
    <xf fontId="2" fillId="0" borderId="0" numFmtId="4" xfId="0" applyNumberFormat="1" applyFont="1" applyAlignment="1">
      <alignment horizontal="right"/>
    </xf>
    <xf fontId="2" fillId="0" borderId="0" numFmtId="4" xfId="0" applyNumberFormat="1" applyFont="1"/>
    <xf fontId="3" fillId="0" borderId="0" numFmtId="164" xfId="0" applyNumberFormat="1" applyFont="1"/>
    <xf fontId="3" fillId="0" borderId="0" numFmtId="10" xfId="0" applyNumberFormat="1" applyFont="1"/>
    <xf fontId="4" fillId="0" borderId="0" numFmtId="0" xfId="0" applyFont="1" applyAlignment="1">
      <alignment horizontal="center"/>
    </xf>
    <xf fontId="3" fillId="0" borderId="0" numFmtId="0" xfId="0" applyFont="1"/>
    <xf fontId="3" fillId="0" borderId="0" numFmtId="4" xfId="0" applyNumberFormat="1" applyFont="1"/>
    <xf fontId="3" fillId="0" borderId="0" numFmtId="0" xfId="0" applyFont="1" applyAlignment="1">
      <alignment horizontal="center"/>
    </xf>
    <xf fontId="4" fillId="0" borderId="0" numFmtId="0" xfId="0" applyFont="1" applyAlignment="1">
      <alignment horizontal="right"/>
    </xf>
    <xf fontId="3" fillId="5" borderId="0" numFmtId="0" xfId="0" applyFont="1" applyFill="1"/>
    <xf fontId="2" fillId="3" borderId="1" numFmtId="0" xfId="0" applyFont="1" applyFill="1" applyBorder="1"/>
    <xf fontId="3" fillId="6" borderId="0" numFmtId="0" xfId="0" applyFont="1" applyFill="1"/>
    <xf fontId="2" fillId="0" borderId="1" numFmtId="0" xfId="0" applyFont="1" applyBorder="1" applyAlignment="1">
      <alignment horizontal="right"/>
    </xf>
    <xf fontId="3" fillId="0" borderId="0" numFmtId="165" xfId="0" applyNumberFormat="1" applyFont="1"/>
    <xf fontId="2" fillId="0" borderId="1" numFmtId="0" xfId="0" applyFont="1" applyBorder="1"/>
    <xf fontId="3" fillId="4" borderId="0" numFmtId="0" xfId="0" applyFont="1" applyFill="1"/>
    <xf fontId="3" fillId="7" borderId="0" numFmtId="0" xfId="0" applyFont="1" applyFill="1"/>
    <xf fontId="2" fillId="0" borderId="0" numFmtId="164" xfId="0" applyNumberFormat="1" applyFont="1"/>
    <xf fontId="3" fillId="8" borderId="0" numFmtId="0" xfId="0" applyFont="1" applyFill="1"/>
    <xf fontId="3" fillId="9" borderId="0" numFmtId="164" xfId="0" applyNumberFormat="1" applyFont="1" applyFill="1"/>
    <xf fontId="3" fillId="10" borderId="0" numFmtId="164" xfId="0" applyNumberFormat="1" applyFont="1" applyFill="1"/>
    <xf fontId="3" fillId="10" borderId="0" numFmtId="10" xfId="0" applyNumberFormat="1" applyFont="1" applyFill="1"/>
    <xf fontId="3" fillId="11" borderId="0" numFmtId="0" xfId="0" applyFont="1" applyFill="1"/>
    <xf fontId="3" fillId="0" borderId="0" numFmt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G10" activeCellId="0" sqref="G10"/>
    </sheetView>
  </sheetViews>
  <sheetFormatPr defaultColWidth="12.5703125" defaultRowHeight="15.75" customHeight="1"/>
  <cols>
    <col bestFit="1" customWidth="1" min="1" max="1" style="1" width="36"/>
    <col bestFit="1" customWidth="1" min="2" max="2" style="1" width="5.85546875"/>
    <col bestFit="1" customWidth="1" min="3" max="3" style="1" width="11.85546875"/>
    <col bestFit="1" customWidth="1" min="4" max="4" style="1" width="15.85546875"/>
    <col bestFit="1" customWidth="1" min="5" max="6" style="1" width="7.28515625"/>
    <col min="7" max="8" style="1" width="12.5703125"/>
    <col bestFit="1" customWidth="1" min="9" max="10" style="1" width="15.5703125"/>
    <col bestFit="1" customWidth="1" min="11" max="11" style="1" width="7.28515625"/>
    <col bestFit="1" customWidth="1" min="12" max="12" style="1" width="36"/>
    <col bestFit="1" customWidth="1" min="13" max="13" style="1" width="7.28515625"/>
    <col bestFit="1" customWidth="1" min="14" max="14" style="1" width="11.85546875"/>
    <col bestFit="1" customWidth="1" min="15" max="15" style="1" width="15.85546875"/>
    <col min="16" max="16" style="1" width="12.5703125"/>
    <col bestFit="1" customWidth="1" min="17" max="17" style="1" width="11.85546875"/>
    <col bestFit="1" customWidth="1" min="18" max="18" style="1" width="15.85546875"/>
    <col min="19" max="19" style="1" width="12.5703125"/>
    <col bestFit="1" customWidth="1" min="20" max="20" style="1" width="33.85546875"/>
    <col min="21" max="16384" style="1" width="12.5703125"/>
  </cols>
  <sheetData>
    <row r="1" ht="15.75" customHeight="1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I1" s="4">
        <v>1</v>
      </c>
      <c r="J1" s="4">
        <v>2</v>
      </c>
      <c r="K1" s="4">
        <v>3</v>
      </c>
      <c r="L1" s="4">
        <v>4</v>
      </c>
      <c r="M1" s="4">
        <v>5</v>
      </c>
      <c r="N1" s="5" t="s">
        <v>0</v>
      </c>
      <c r="O1" s="5" t="s">
        <v>1</v>
      </c>
      <c r="S1" s="6" t="s">
        <v>2</v>
      </c>
      <c r="T1" s="7"/>
      <c r="U1" s="7"/>
      <c r="V1" s="7"/>
      <c r="W1" s="7"/>
    </row>
    <row r="2" ht="15.75" customHeight="1">
      <c r="A2" s="3">
        <v>1</v>
      </c>
      <c r="B2" s="8">
        <v>1</v>
      </c>
      <c r="C2" s="9">
        <v>5</v>
      </c>
      <c r="D2" s="9">
        <v>1</v>
      </c>
      <c r="E2" s="9">
        <v>7</v>
      </c>
      <c r="F2" s="9">
        <v>3</v>
      </c>
      <c r="H2" s="4">
        <v>1</v>
      </c>
      <c r="I2" s="10">
        <f t="shared" ref="I2:M2" si="0">B2/B7</f>
        <v>0.37366548042704623</v>
      </c>
      <c r="J2" s="10">
        <f t="shared" si="0"/>
        <v>0.34883720930232559</v>
      </c>
      <c r="K2" s="10">
        <f t="shared" si="0"/>
        <v>0.37366548042704623</v>
      </c>
      <c r="L2" s="10">
        <f t="shared" si="0"/>
        <v>0.33333333333333331</v>
      </c>
      <c r="M2" s="10">
        <f t="shared" si="0"/>
        <v>0.39130434782608692</v>
      </c>
      <c r="N2" s="10">
        <f t="shared" ref="N2:N6" si="1">AVERAGE(I2:M2)</f>
        <v>0.36416117026316763</v>
      </c>
      <c r="O2" s="11">
        <f t="shared" ref="O2:O6" si="2">AVERAGE(I2:M2)</f>
        <v>0.36416117026316763</v>
      </c>
      <c r="S2" s="12" t="s">
        <v>3</v>
      </c>
      <c r="T2" s="1" t="s">
        <v>4</v>
      </c>
      <c r="U2" s="7"/>
      <c r="V2" s="7"/>
      <c r="W2" s="7"/>
    </row>
    <row r="3" ht="15.75" customHeight="1">
      <c r="A3" s="3">
        <v>2</v>
      </c>
      <c r="B3" s="9">
        <v>0.20000000000000001</v>
      </c>
      <c r="C3" s="8">
        <v>1</v>
      </c>
      <c r="D3" s="9">
        <f>1/5</f>
        <v>0.20000000000000001</v>
      </c>
      <c r="E3" s="9">
        <v>3</v>
      </c>
      <c r="F3" s="9">
        <v>0.33333333333333331</v>
      </c>
      <c r="H3" s="4">
        <v>2</v>
      </c>
      <c r="I3" s="10">
        <f t="shared" ref="I3:M3" si="3">B3/B7</f>
        <v>0.074733096085409248</v>
      </c>
      <c r="J3" s="10">
        <f t="shared" si="3"/>
        <v>0.069767441860465115</v>
      </c>
      <c r="K3" s="10">
        <f t="shared" si="3"/>
        <v>0.074733096085409248</v>
      </c>
      <c r="L3" s="10">
        <f t="shared" si="3"/>
        <v>0.14285714285714285</v>
      </c>
      <c r="M3" s="10">
        <f t="shared" si="3"/>
        <v>0.043478260869565216</v>
      </c>
      <c r="N3" s="10">
        <f t="shared" si="1"/>
        <v>0.081113807551598333</v>
      </c>
      <c r="O3" s="11">
        <f t="shared" si="2"/>
        <v>0.081113807551598333</v>
      </c>
      <c r="S3" s="12" t="s">
        <v>5</v>
      </c>
      <c r="T3" s="1" t="s">
        <v>6</v>
      </c>
      <c r="U3" s="7"/>
      <c r="V3" s="7"/>
      <c r="W3" s="7"/>
    </row>
    <row r="4" ht="15.75" customHeight="1">
      <c r="A4" s="3">
        <v>3</v>
      </c>
      <c r="B4" s="9">
        <v>1</v>
      </c>
      <c r="C4" s="9">
        <v>5</v>
      </c>
      <c r="D4" s="8">
        <v>1</v>
      </c>
      <c r="E4" s="9">
        <v>7</v>
      </c>
      <c r="F4" s="9">
        <v>3</v>
      </c>
      <c r="H4" s="4">
        <v>3</v>
      </c>
      <c r="I4" s="10">
        <f t="shared" ref="I4:M4" si="4">B4/B7</f>
        <v>0.37366548042704623</v>
      </c>
      <c r="J4" s="10">
        <f t="shared" si="4"/>
        <v>0.34883720930232559</v>
      </c>
      <c r="K4" s="10">
        <f t="shared" si="4"/>
        <v>0.37366548042704623</v>
      </c>
      <c r="L4" s="10">
        <f t="shared" si="4"/>
        <v>0.33333333333333331</v>
      </c>
      <c r="M4" s="10">
        <f t="shared" si="4"/>
        <v>0.39130434782608692</v>
      </c>
      <c r="N4" s="10">
        <f t="shared" si="1"/>
        <v>0.36416117026316763</v>
      </c>
      <c r="O4" s="11">
        <f t="shared" si="2"/>
        <v>0.36416117026316763</v>
      </c>
      <c r="S4" s="12" t="s">
        <v>7</v>
      </c>
      <c r="T4" s="1" t="s">
        <v>8</v>
      </c>
      <c r="U4" s="7"/>
      <c r="V4" s="7"/>
      <c r="W4" s="7"/>
    </row>
    <row r="5" ht="15.75" customHeight="1">
      <c r="A5" s="3">
        <v>4</v>
      </c>
      <c r="B5" s="9">
        <v>0.14285714285714285</v>
      </c>
      <c r="C5" s="9">
        <v>0.33333333333333331</v>
      </c>
      <c r="D5" s="9">
        <f>1/(7)</f>
        <v>0.14285714285714285</v>
      </c>
      <c r="E5" s="8">
        <v>1</v>
      </c>
      <c r="F5" s="9">
        <v>0.33333333333333331</v>
      </c>
      <c r="H5" s="4">
        <v>4</v>
      </c>
      <c r="I5" s="10">
        <f t="shared" ref="I5:M5" si="5">B5/B7</f>
        <v>0.053380782918149461</v>
      </c>
      <c r="J5" s="10">
        <f t="shared" si="5"/>
        <v>0.023255813953488368</v>
      </c>
      <c r="K5" s="10">
        <f t="shared" si="5"/>
        <v>0.053380782918149461</v>
      </c>
      <c r="L5" s="10">
        <f>E5/E7</f>
        <v>0.047619047619047616</v>
      </c>
      <c r="M5" s="10">
        <f t="shared" si="5"/>
        <v>0.043478260869565216</v>
      </c>
      <c r="N5" s="10">
        <f t="shared" si="1"/>
        <v>0.044222937655680021</v>
      </c>
      <c r="O5" s="11">
        <f t="shared" si="2"/>
        <v>0.044222937655680021</v>
      </c>
      <c r="S5" s="12" t="s">
        <v>9</v>
      </c>
      <c r="T5" s="7" t="s">
        <v>10</v>
      </c>
      <c r="U5" s="7"/>
      <c r="V5" s="7"/>
      <c r="W5" s="7"/>
    </row>
    <row r="6" ht="15.75" customHeight="1">
      <c r="A6" s="3">
        <v>5</v>
      </c>
      <c r="B6" s="9">
        <v>0.33333333333333331</v>
      </c>
      <c r="C6" s="9">
        <v>3</v>
      </c>
      <c r="D6" s="9">
        <v>0.33333333333333331</v>
      </c>
      <c r="E6" s="9">
        <v>3</v>
      </c>
      <c r="F6" s="8">
        <v>1</v>
      </c>
      <c r="H6" s="4">
        <v>5</v>
      </c>
      <c r="I6" s="10">
        <f t="shared" ref="I6:M6" si="6">B6/B7</f>
        <v>0.12455516014234874</v>
      </c>
      <c r="J6" s="10">
        <f t="shared" si="6"/>
        <v>0.20930232558139533</v>
      </c>
      <c r="K6" s="10">
        <f t="shared" si="6"/>
        <v>0.12455516014234874</v>
      </c>
      <c r="L6" s="10">
        <f>E6/E7</f>
        <v>0.14285714285714285</v>
      </c>
      <c r="M6" s="10">
        <f t="shared" si="6"/>
        <v>0.13043478260869565</v>
      </c>
      <c r="N6" s="10">
        <f t="shared" si="1"/>
        <v>0.14634091426638626</v>
      </c>
      <c r="O6" s="11">
        <f t="shared" si="2"/>
        <v>0.14634091426638626</v>
      </c>
      <c r="S6" s="7"/>
      <c r="T6" s="7"/>
      <c r="U6" s="7"/>
      <c r="V6" s="7"/>
      <c r="W6" s="7"/>
    </row>
    <row r="7" ht="15.75" customHeight="1">
      <c r="A7" s="13" t="s">
        <v>11</v>
      </c>
      <c r="B7" s="14">
        <f t="shared" ref="B7:F7" si="7">SUM(B2:B6)</f>
        <v>2.6761904761904765</v>
      </c>
      <c r="C7" s="14">
        <f t="shared" si="7"/>
        <v>14.333333333333334</v>
      </c>
      <c r="D7" s="14">
        <f t="shared" si="7"/>
        <v>2.6761904761904765</v>
      </c>
      <c r="E7" s="14">
        <f t="shared" si="7"/>
        <v>21</v>
      </c>
      <c r="F7" s="14">
        <f t="shared" si="7"/>
        <v>7.666666666666667</v>
      </c>
      <c r="S7" s="6" t="s">
        <v>12</v>
      </c>
      <c r="T7" s="7"/>
      <c r="U7" s="7" t="s">
        <v>13</v>
      </c>
      <c r="V7" s="1"/>
      <c r="W7" s="7"/>
    </row>
    <row r="8" ht="15.75" customHeight="1">
      <c r="M8" s="15" t="s">
        <v>14</v>
      </c>
      <c r="N8" s="1"/>
      <c r="O8" s="1"/>
      <c r="P8" s="1"/>
      <c r="S8" s="16">
        <v>1</v>
      </c>
      <c r="T8" s="1" t="s">
        <v>15</v>
      </c>
      <c r="U8" s="7" t="s">
        <v>16</v>
      </c>
      <c r="V8" s="1" t="s">
        <v>17</v>
      </c>
      <c r="W8" s="7"/>
    </row>
    <row r="9" ht="15.75" customHeight="1">
      <c r="A9" s="1" t="s">
        <v>15</v>
      </c>
      <c r="B9" s="17" t="s">
        <v>3</v>
      </c>
      <c r="C9" s="17" t="s">
        <v>5</v>
      </c>
      <c r="D9" s="17" t="s">
        <v>7</v>
      </c>
      <c r="E9" s="17" t="s">
        <v>9</v>
      </c>
      <c r="G9" s="18" t="s">
        <v>18</v>
      </c>
      <c r="H9" s="18" t="s">
        <v>19</v>
      </c>
      <c r="I9" s="18" t="s">
        <v>20</v>
      </c>
      <c r="J9" s="18" t="s">
        <v>21</v>
      </c>
      <c r="L9" s="1" t="s">
        <v>15</v>
      </c>
      <c r="M9" s="17" t="s">
        <v>3</v>
      </c>
      <c r="N9" s="17" t="s">
        <v>5</v>
      </c>
      <c r="O9" s="17" t="s">
        <v>7</v>
      </c>
      <c r="P9" s="17" t="s">
        <v>9</v>
      </c>
      <c r="Q9" s="5" t="s">
        <v>0</v>
      </c>
      <c r="R9" s="5" t="s">
        <v>1</v>
      </c>
      <c r="S9" s="16">
        <v>2</v>
      </c>
      <c r="T9" s="1" t="s">
        <v>22</v>
      </c>
      <c r="U9" s="7" t="s">
        <v>23</v>
      </c>
      <c r="V9" s="1" t="s">
        <v>24</v>
      </c>
      <c r="W9" s="7"/>
    </row>
    <row r="10" ht="15.75" customHeight="1">
      <c r="A10" s="19" t="s">
        <v>3</v>
      </c>
      <c r="B10" s="14">
        <v>1</v>
      </c>
      <c r="C10" s="14">
        <f>1/3</f>
        <v>0.33333333333333331</v>
      </c>
      <c r="D10" s="14">
        <v>0.20000000000000001</v>
      </c>
      <c r="E10" s="14">
        <v>0.25</v>
      </c>
      <c r="G10" s="20">
        <v>1</v>
      </c>
      <c r="H10" s="20">
        <f t="array" ref="H10:H13">MMULT(B10:E13,G10:G13)/MMULT(TRANSPOSE(G10:G13),MMULT(B10:E13,G10:G13))</f>
        <v>0.062245491564863288</v>
      </c>
      <c r="I10" s="20">
        <f t="array" ref="I10">MMULT(TRANSPOSE(G10:G13),MMULT(B10:E13,H10:H13))</f>
        <v>4.5720380065929813</v>
      </c>
      <c r="J10" s="20">
        <f>(I10-4)/(4-1)</f>
        <v>0.19067933553099378</v>
      </c>
      <c r="L10" s="19" t="s">
        <v>3</v>
      </c>
      <c r="M10" s="14">
        <f t="shared" ref="M10:P10" si="8">B10/B14</f>
        <v>0.076923076923076927</v>
      </c>
      <c r="N10" s="14">
        <f t="shared" si="8"/>
        <v>0.035714285714285719</v>
      </c>
      <c r="O10" s="14">
        <f t="shared" si="8"/>
        <v>0.044117647058823532</v>
      </c>
      <c r="P10" s="14">
        <f t="shared" si="8"/>
        <v>0.14018691588785048</v>
      </c>
      <c r="Q10" s="21">
        <f t="shared" ref="Q10:Q41" si="9">AVERAGE(M10:P10)</f>
        <v>0.074235481396009162</v>
      </c>
      <c r="R10" s="11">
        <f t="shared" ref="R10:R41" si="10">AVERAGE(M10:P10)</f>
        <v>0.074235481396009162</v>
      </c>
      <c r="S10" s="16">
        <v>3</v>
      </c>
      <c r="T10" s="1" t="s">
        <v>25</v>
      </c>
      <c r="U10" s="1" t="s">
        <v>16</v>
      </c>
      <c r="V10" s="1" t="s">
        <v>17</v>
      </c>
      <c r="W10" s="7"/>
    </row>
    <row r="11" ht="15.75" customHeight="1">
      <c r="A11" s="19" t="s">
        <v>5</v>
      </c>
      <c r="B11" s="14">
        <v>3</v>
      </c>
      <c r="C11" s="14">
        <v>1</v>
      </c>
      <c r="D11" s="14">
        <v>0.33333333333333331</v>
      </c>
      <c r="E11" s="14">
        <v>0.20000000000000001</v>
      </c>
      <c r="G11" s="20">
        <v>1</v>
      </c>
      <c r="H11" s="20">
        <f/>
        <v>0.15823152995927867</v>
      </c>
      <c r="I11" s="22"/>
      <c r="J11" s="22"/>
      <c r="L11" s="19" t="s">
        <v>5</v>
      </c>
      <c r="M11" s="14">
        <f t="shared" ref="M11:P11" si="11">B11/B14</f>
        <v>0.23076923076923078</v>
      </c>
      <c r="N11" s="14">
        <f t="shared" si="11"/>
        <v>0.10714285714285715</v>
      </c>
      <c r="O11" s="14">
        <f t="shared" si="11"/>
        <v>0.073529411764705885</v>
      </c>
      <c r="P11" s="14">
        <f t="shared" si="11"/>
        <v>0.11214953271028039</v>
      </c>
      <c r="Q11" s="21">
        <f t="shared" si="9"/>
        <v>0.13089775809676857</v>
      </c>
      <c r="R11" s="11">
        <f t="shared" si="10"/>
        <v>0.13089775809676857</v>
      </c>
      <c r="S11" s="16">
        <v>4</v>
      </c>
      <c r="T11" s="1" t="s">
        <v>26</v>
      </c>
      <c r="U11" s="7" t="s">
        <v>23</v>
      </c>
      <c r="V11" s="1" t="s">
        <v>24</v>
      </c>
      <c r="W11" s="7"/>
    </row>
    <row r="12" ht="15.75" customHeight="1">
      <c r="A12" s="19" t="s">
        <v>7</v>
      </c>
      <c r="B12" s="14">
        <v>5</v>
      </c>
      <c r="C12" s="14">
        <v>3</v>
      </c>
      <c r="D12" s="14">
        <v>1</v>
      </c>
      <c r="E12" s="14">
        <v>0.33333333333333331</v>
      </c>
      <c r="G12" s="20">
        <v>1</v>
      </c>
      <c r="H12" s="20">
        <f/>
        <v>0.32577079697498551</v>
      </c>
      <c r="I12" s="22"/>
      <c r="J12" s="22"/>
      <c r="L12" s="19" t="s">
        <v>7</v>
      </c>
      <c r="M12" s="14">
        <f t="shared" ref="M12:P12" si="12">B12/B14</f>
        <v>0.38461538461538464</v>
      </c>
      <c r="N12" s="14">
        <f t="shared" si="12"/>
        <v>0.32142857142857145</v>
      </c>
      <c r="O12" s="14">
        <f t="shared" si="12"/>
        <v>0.22058823529411764</v>
      </c>
      <c r="P12" s="14">
        <f t="shared" si="12"/>
        <v>0.18691588785046728</v>
      </c>
      <c r="Q12" s="21">
        <f t="shared" si="9"/>
        <v>0.27838701979713526</v>
      </c>
      <c r="R12" s="11">
        <f t="shared" si="10"/>
        <v>0.27838701979713526</v>
      </c>
      <c r="S12" s="16">
        <v>5</v>
      </c>
      <c r="T12" s="1" t="s">
        <v>27</v>
      </c>
      <c r="U12" s="1" t="s">
        <v>16</v>
      </c>
      <c r="V12" s="1" t="s">
        <v>17</v>
      </c>
      <c r="W12" s="7"/>
    </row>
    <row r="13" ht="15.75" customHeight="1">
      <c r="A13" s="19" t="s">
        <v>9</v>
      </c>
      <c r="B13" s="14">
        <v>4</v>
      </c>
      <c r="C13" s="14">
        <v>5</v>
      </c>
      <c r="D13" s="14">
        <v>3</v>
      </c>
      <c r="E13" s="14">
        <v>1</v>
      </c>
      <c r="G13" s="20">
        <v>1</v>
      </c>
      <c r="H13" s="20">
        <f/>
        <v>0.4537521815008726</v>
      </c>
      <c r="I13" s="22"/>
      <c r="J13" s="22"/>
      <c r="L13" s="19" t="s">
        <v>9</v>
      </c>
      <c r="M13" s="14">
        <f t="shared" ref="M13:P13" si="13">B13/B14</f>
        <v>0.30769230769230771</v>
      </c>
      <c r="N13" s="14">
        <f t="shared" si="13"/>
        <v>0.53571428571428581</v>
      </c>
      <c r="O13" s="14">
        <f t="shared" si="13"/>
        <v>0.66176470588235292</v>
      </c>
      <c r="P13" s="14">
        <f t="shared" si="13"/>
        <v>0.56074766355140193</v>
      </c>
      <c r="Q13" s="21">
        <f t="shared" si="9"/>
        <v>0.51647974071008707</v>
      </c>
      <c r="R13" s="11">
        <f t="shared" si="10"/>
        <v>0.51647974071008707</v>
      </c>
    </row>
    <row r="14" ht="15">
      <c r="A14" s="13" t="s">
        <v>11</v>
      </c>
      <c r="B14" s="14">
        <f t="shared" ref="B14:E42" si="14">SUM(B10:B13)</f>
        <v>13</v>
      </c>
      <c r="C14" s="14">
        <f t="shared" si="14"/>
        <v>9.3333333333333321</v>
      </c>
      <c r="D14" s="14">
        <f t="shared" si="14"/>
        <v>4.5333333333333332</v>
      </c>
      <c r="E14" s="14">
        <f t="shared" si="14"/>
        <v>1.7833333333333332</v>
      </c>
    </row>
    <row r="16" ht="15.75" customHeight="1">
      <c r="A16" s="1" t="s">
        <v>22</v>
      </c>
      <c r="B16" s="17" t="s">
        <v>3</v>
      </c>
      <c r="C16" s="17" t="s">
        <v>5</v>
      </c>
      <c r="D16" s="17" t="s">
        <v>7</v>
      </c>
      <c r="E16" s="17" t="s">
        <v>9</v>
      </c>
      <c r="G16" s="18" t="s">
        <v>18</v>
      </c>
      <c r="H16" s="18" t="s">
        <v>19</v>
      </c>
      <c r="I16" s="18" t="s">
        <v>20</v>
      </c>
      <c r="J16" s="18" t="s">
        <v>21</v>
      </c>
      <c r="L16" s="1" t="s">
        <v>22</v>
      </c>
      <c r="M16" s="17" t="s">
        <v>3</v>
      </c>
      <c r="N16" s="17" t="s">
        <v>5</v>
      </c>
      <c r="O16" s="17" t="s">
        <v>7</v>
      </c>
      <c r="P16" s="17" t="s">
        <v>9</v>
      </c>
      <c r="Q16" s="5" t="s">
        <v>0</v>
      </c>
      <c r="R16" s="5" t="s">
        <v>1</v>
      </c>
    </row>
    <row r="17" ht="15.75" customHeight="1">
      <c r="A17" s="19" t="s">
        <v>3</v>
      </c>
      <c r="B17" s="14">
        <v>1</v>
      </c>
      <c r="C17" s="14">
        <v>3</v>
      </c>
      <c r="D17" s="14">
        <v>5</v>
      </c>
      <c r="E17" s="14">
        <v>0.33333333333333331</v>
      </c>
      <c r="G17" s="20">
        <v>1</v>
      </c>
      <c r="H17" s="20">
        <f t="array" ref="H17:H20">MMULT(B17:E20,G17:G20)/MMULT(TRANSPOSE(G17:G20),MMULT(B17:E20,G17:G20))</f>
        <v>0.28680128767925078</v>
      </c>
      <c r="I17" s="20">
        <f t="array" ref="I17">MMULT(TRANSPOSE(G17:G20),MMULT(B17:E20,H17:H20))</f>
        <v>4.8224563457223679</v>
      </c>
      <c r="J17" s="20">
        <f>(I17-4)/(4-1)</f>
        <v>0.27415211524078931</v>
      </c>
      <c r="L17" s="19" t="s">
        <v>3</v>
      </c>
      <c r="M17" s="14">
        <f t="shared" ref="M17:P17" si="15">B17/B21</f>
        <v>0.22058823529411764</v>
      </c>
      <c r="N17" s="14">
        <f t="shared" si="15"/>
        <v>0.32142857142857145</v>
      </c>
      <c r="O17" s="14">
        <f t="shared" si="15"/>
        <v>0.3125</v>
      </c>
      <c r="P17" s="14">
        <f t="shared" si="15"/>
        <v>0.12455516014234874</v>
      </c>
      <c r="Q17" s="10">
        <f t="shared" si="9"/>
        <v>0.24476799171625946</v>
      </c>
      <c r="R17" s="11">
        <f t="shared" si="10"/>
        <v>0.24476799171625946</v>
      </c>
    </row>
    <row r="18" ht="15.75" customHeight="1">
      <c r="A18" s="19" t="s">
        <v>5</v>
      </c>
      <c r="B18" s="14">
        <v>0.33333333333333331</v>
      </c>
      <c r="C18" s="14">
        <v>1</v>
      </c>
      <c r="D18" s="14">
        <v>3</v>
      </c>
      <c r="E18" s="14">
        <v>0.20000000000000001</v>
      </c>
      <c r="G18" s="20">
        <v>1</v>
      </c>
      <c r="H18" s="20">
        <f/>
        <v>0.13930348258706465</v>
      </c>
      <c r="I18" s="22"/>
      <c r="J18" s="22"/>
      <c r="L18" s="19" t="s">
        <v>5</v>
      </c>
      <c r="M18" s="14">
        <f t="shared" ref="M18:P18" si="16">B18/B21</f>
        <v>0.073529411764705885</v>
      </c>
      <c r="N18" s="14">
        <f t="shared" si="16"/>
        <v>0.10714285714285715</v>
      </c>
      <c r="O18" s="14">
        <f t="shared" si="16"/>
        <v>0.1875</v>
      </c>
      <c r="P18" s="14">
        <f t="shared" si="16"/>
        <v>0.074733096085409248</v>
      </c>
      <c r="Q18" s="10">
        <f t="shared" si="9"/>
        <v>0.11072634124824307</v>
      </c>
      <c r="R18" s="11">
        <f t="shared" si="10"/>
        <v>0.11072634124824307</v>
      </c>
    </row>
    <row r="19" ht="15.75" customHeight="1">
      <c r="A19" s="19" t="s">
        <v>7</v>
      </c>
      <c r="B19" s="14">
        <v>0.20000000000000001</v>
      </c>
      <c r="C19" s="14">
        <v>0.33333333333333331</v>
      </c>
      <c r="D19" s="14">
        <v>1</v>
      </c>
      <c r="E19" s="14">
        <v>0.14285714285714285</v>
      </c>
      <c r="G19" s="20">
        <v>1</v>
      </c>
      <c r="H19" s="20">
        <f/>
        <v>0.051507170032191976</v>
      </c>
      <c r="I19" s="22"/>
      <c r="J19" s="22"/>
      <c r="L19" s="19" t="s">
        <v>7</v>
      </c>
      <c r="M19" s="14">
        <f t="shared" ref="M19:P19" si="17">B19/B21</f>
        <v>0.044117647058823532</v>
      </c>
      <c r="N19" s="14">
        <f t="shared" si="17"/>
        <v>0.035714285714285719</v>
      </c>
      <c r="O19" s="14">
        <f t="shared" si="17"/>
        <v>0.0625</v>
      </c>
      <c r="P19" s="14">
        <f t="shared" si="17"/>
        <v>0.053380782918149461</v>
      </c>
      <c r="Q19" s="10">
        <f t="shared" si="9"/>
        <v>0.048928178922814675</v>
      </c>
      <c r="R19" s="11">
        <f t="shared" si="10"/>
        <v>0.048928178922814675</v>
      </c>
    </row>
    <row r="20" ht="15.75" customHeight="1">
      <c r="A20" s="19" t="s">
        <v>9</v>
      </c>
      <c r="B20" s="14">
        <v>3</v>
      </c>
      <c r="C20" s="14">
        <v>5</v>
      </c>
      <c r="D20" s="14">
        <v>7</v>
      </c>
      <c r="E20" s="14">
        <v>2</v>
      </c>
      <c r="G20" s="20">
        <v>1</v>
      </c>
      <c r="H20" s="20">
        <f/>
        <v>0.52238805970149249</v>
      </c>
      <c r="I20" s="22"/>
      <c r="J20" s="22"/>
      <c r="L20" s="19" t="s">
        <v>9</v>
      </c>
      <c r="M20" s="14">
        <f t="shared" ref="M20:P20" si="18">B20/B21</f>
        <v>0.66176470588235292</v>
      </c>
      <c r="N20" s="14">
        <f t="shared" si="18"/>
        <v>0.53571428571428581</v>
      </c>
      <c r="O20" s="14">
        <f t="shared" si="18"/>
        <v>0.4375</v>
      </c>
      <c r="P20" s="14">
        <f t="shared" si="18"/>
        <v>0.74733096085409245</v>
      </c>
      <c r="Q20" s="10">
        <f t="shared" si="9"/>
        <v>0.59557748811268285</v>
      </c>
      <c r="R20" s="11">
        <f t="shared" si="10"/>
        <v>0.59557748811268285</v>
      </c>
    </row>
    <row r="21" ht="15">
      <c r="A21" s="13" t="s">
        <v>11</v>
      </c>
      <c r="B21" s="14">
        <f t="shared" si="14"/>
        <v>4.5333333333333332</v>
      </c>
      <c r="C21" s="14">
        <f t="shared" si="14"/>
        <v>9.3333333333333321</v>
      </c>
      <c r="D21" s="14">
        <f t="shared" si="14"/>
        <v>16</v>
      </c>
      <c r="E21" s="14">
        <f t="shared" si="14"/>
        <v>2.6761904761904765</v>
      </c>
    </row>
    <row r="23" ht="15.75" customHeight="1">
      <c r="A23" s="1" t="s">
        <v>25</v>
      </c>
      <c r="B23" s="17" t="s">
        <v>3</v>
      </c>
      <c r="C23" s="17" t="s">
        <v>5</v>
      </c>
      <c r="D23" s="17" t="s">
        <v>7</v>
      </c>
      <c r="E23" s="17" t="s">
        <v>9</v>
      </c>
      <c r="G23" s="18" t="s">
        <v>18</v>
      </c>
      <c r="H23" s="18" t="s">
        <v>19</v>
      </c>
      <c r="I23" s="18" t="s">
        <v>20</v>
      </c>
      <c r="J23" s="18" t="s">
        <v>21</v>
      </c>
      <c r="L23" s="1" t="s">
        <v>25</v>
      </c>
      <c r="M23" s="17" t="s">
        <v>3</v>
      </c>
      <c r="N23" s="17" t="s">
        <v>5</v>
      </c>
      <c r="O23" s="17" t="s">
        <v>7</v>
      </c>
      <c r="P23" s="17" t="s">
        <v>9</v>
      </c>
      <c r="Q23" s="5" t="s">
        <v>0</v>
      </c>
      <c r="R23" s="5" t="s">
        <v>1</v>
      </c>
    </row>
    <row r="24" ht="15.75" customHeight="1">
      <c r="A24" s="19" t="s">
        <v>3</v>
      </c>
      <c r="B24" s="14">
        <v>1</v>
      </c>
      <c r="C24" s="14">
        <v>0.33333333333333331</v>
      </c>
      <c r="D24" s="14">
        <v>0.20000000000000001</v>
      </c>
      <c r="E24" s="14">
        <v>0.14285714285714285</v>
      </c>
      <c r="G24" s="20">
        <v>1</v>
      </c>
      <c r="H24" s="20">
        <f t="array" ref="H24:H27">MMULT(B24:E27,G24:G27)/MMULT(TRANSPOSE(G24:G27),MMULT(B24:E27,G24:G27))</f>
        <v>0.053140096618357481</v>
      </c>
      <c r="I24" s="20">
        <f t="array" ref="I24">MMULT(TRANSPOSE(G24:G27),MMULT(B24:E27,H24:H27))</f>
        <v>4.3832528180354267</v>
      </c>
      <c r="J24" s="20">
        <f>(I24-4)/(4-1)</f>
        <v>0.12775093934514223</v>
      </c>
      <c r="L24" s="19" t="s">
        <v>3</v>
      </c>
      <c r="M24" s="14">
        <f t="shared" ref="M24:P24" si="19">B24/B28</f>
        <v>0.0625</v>
      </c>
      <c r="N24" s="14">
        <f t="shared" si="19"/>
        <v>0.035714285714285719</v>
      </c>
      <c r="O24" s="14">
        <f t="shared" si="19"/>
        <v>0.044117647058823532</v>
      </c>
      <c r="P24" s="14">
        <f t="shared" si="19"/>
        <v>0.085227272727272721</v>
      </c>
      <c r="Q24" s="10">
        <f t="shared" si="9"/>
        <v>0.0568898013750955</v>
      </c>
      <c r="R24" s="11">
        <f t="shared" si="10"/>
        <v>0.0568898013750955</v>
      </c>
    </row>
    <row r="25" ht="15.75" customHeight="1">
      <c r="A25" s="19" t="s">
        <v>5</v>
      </c>
      <c r="B25" s="14">
        <v>3</v>
      </c>
      <c r="C25" s="14">
        <v>1</v>
      </c>
      <c r="D25" s="14">
        <v>0.33333333333333331</v>
      </c>
      <c r="E25" s="14">
        <v>0.20000000000000001</v>
      </c>
      <c r="G25" s="20">
        <v>1</v>
      </c>
      <c r="H25" s="20">
        <f/>
        <v>0.14371980676328502</v>
      </c>
      <c r="I25" s="22"/>
      <c r="J25" s="22"/>
      <c r="L25" s="19" t="s">
        <v>5</v>
      </c>
      <c r="M25" s="14">
        <f t="shared" ref="M25:P25" si="20">B25/B28</f>
        <v>0.1875</v>
      </c>
      <c r="N25" s="14">
        <f t="shared" si="20"/>
        <v>0.10714285714285715</v>
      </c>
      <c r="O25" s="14">
        <f t="shared" si="20"/>
        <v>0.073529411764705885</v>
      </c>
      <c r="P25" s="14">
        <f t="shared" si="20"/>
        <v>0.11931818181818182</v>
      </c>
      <c r="Q25" s="10">
        <f t="shared" si="9"/>
        <v>0.12187261268143622</v>
      </c>
      <c r="R25" s="11">
        <f t="shared" si="10"/>
        <v>0.12187261268143622</v>
      </c>
    </row>
    <row r="26" ht="15.75" customHeight="1">
      <c r="A26" s="19" t="s">
        <v>7</v>
      </c>
      <c r="B26" s="14">
        <v>5</v>
      </c>
      <c r="C26" s="14">
        <v>3</v>
      </c>
      <c r="D26" s="14">
        <v>1</v>
      </c>
      <c r="E26" s="14">
        <v>0.33333333333333331</v>
      </c>
      <c r="G26" s="20">
        <v>1</v>
      </c>
      <c r="H26" s="20">
        <f/>
        <v>0.29589371980676327</v>
      </c>
      <c r="I26" s="22"/>
      <c r="J26" s="22"/>
      <c r="L26" s="19" t="s">
        <v>7</v>
      </c>
      <c r="M26" s="14">
        <f t="shared" ref="M26:P26" si="21">B26/B28</f>
        <v>0.3125</v>
      </c>
      <c r="N26" s="14">
        <f t="shared" si="21"/>
        <v>0.32142857142857145</v>
      </c>
      <c r="O26" s="14">
        <f t="shared" si="21"/>
        <v>0.22058823529411764</v>
      </c>
      <c r="P26" s="14">
        <f t="shared" si="21"/>
        <v>0.19886363636363635</v>
      </c>
      <c r="Q26" s="10">
        <f t="shared" si="9"/>
        <v>0.26334511077158135</v>
      </c>
      <c r="R26" s="11">
        <f t="shared" si="10"/>
        <v>0.26334511077158135</v>
      </c>
    </row>
    <row r="27" ht="15.75" customHeight="1">
      <c r="A27" s="19" t="s">
        <v>9</v>
      </c>
      <c r="B27" s="14">
        <v>7</v>
      </c>
      <c r="C27" s="14">
        <v>5</v>
      </c>
      <c r="D27" s="14">
        <v>3</v>
      </c>
      <c r="E27" s="14">
        <v>1</v>
      </c>
      <c r="G27" s="20">
        <v>1</v>
      </c>
      <c r="H27" s="20">
        <f/>
        <v>0.50724637681159412</v>
      </c>
      <c r="I27" s="22"/>
      <c r="J27" s="22"/>
      <c r="L27" s="19" t="s">
        <v>9</v>
      </c>
      <c r="M27" s="14">
        <f t="shared" ref="M27:P27" si="22">B27/B28</f>
        <v>0.4375</v>
      </c>
      <c r="N27" s="14">
        <f t="shared" si="22"/>
        <v>0.53571428571428581</v>
      </c>
      <c r="O27" s="14">
        <f t="shared" si="22"/>
        <v>0.66176470588235292</v>
      </c>
      <c r="P27" s="14">
        <f t="shared" si="22"/>
        <v>0.59659090909090906</v>
      </c>
      <c r="Q27" s="10">
        <f t="shared" si="9"/>
        <v>0.557892475171887</v>
      </c>
      <c r="R27" s="11">
        <f t="shared" si="10"/>
        <v>0.557892475171887</v>
      </c>
    </row>
    <row r="28" ht="15">
      <c r="A28" s="13" t="s">
        <v>11</v>
      </c>
      <c r="B28" s="14">
        <f t="shared" si="14"/>
        <v>16</v>
      </c>
      <c r="C28" s="14">
        <f t="shared" si="14"/>
        <v>9.3333333333333321</v>
      </c>
      <c r="D28" s="14">
        <f t="shared" si="14"/>
        <v>4.5333333333333332</v>
      </c>
      <c r="E28" s="14">
        <f t="shared" si="14"/>
        <v>1.6761904761904762</v>
      </c>
    </row>
    <row r="30" ht="15.75" customHeight="1">
      <c r="A30" s="1" t="s">
        <v>26</v>
      </c>
      <c r="B30" s="17" t="s">
        <v>3</v>
      </c>
      <c r="C30" s="17" t="s">
        <v>5</v>
      </c>
      <c r="D30" s="17" t="s">
        <v>7</v>
      </c>
      <c r="E30" s="17" t="s">
        <v>9</v>
      </c>
      <c r="G30" s="18" t="s">
        <v>18</v>
      </c>
      <c r="H30" s="18" t="s">
        <v>19</v>
      </c>
      <c r="I30" s="18" t="s">
        <v>20</v>
      </c>
      <c r="J30" s="18" t="s">
        <v>21</v>
      </c>
      <c r="L30" s="1" t="s">
        <v>26</v>
      </c>
      <c r="M30" s="17" t="s">
        <v>3</v>
      </c>
      <c r="N30" s="17" t="s">
        <v>5</v>
      </c>
      <c r="O30" s="17" t="s">
        <v>7</v>
      </c>
      <c r="P30" s="17" t="s">
        <v>9</v>
      </c>
      <c r="Q30" s="5" t="s">
        <v>0</v>
      </c>
      <c r="R30" s="5" t="s">
        <v>1</v>
      </c>
    </row>
    <row r="31" ht="15.75" customHeight="1">
      <c r="A31" s="19" t="s">
        <v>3</v>
      </c>
      <c r="B31" s="14">
        <v>1</v>
      </c>
      <c r="C31" s="14">
        <v>3</v>
      </c>
      <c r="D31" s="14">
        <v>5</v>
      </c>
      <c r="E31" s="14">
        <v>3</v>
      </c>
      <c r="G31" s="20">
        <v>1</v>
      </c>
      <c r="H31" s="20">
        <f t="array" ref="H31:H34">MMULT(B31:E34,G31:G34)/MMULT(TRANSPOSE(G31:G34),MMULT(B31:E34,G31:G34))</f>
        <v>0.3925845147219193</v>
      </c>
      <c r="I31" s="20">
        <f t="array" ref="I31">MMULT(TRANSPOSE(G31:G34),MMULT(B31:E34,H31:H34))</f>
        <v>5.210468920392584</v>
      </c>
      <c r="J31" s="20">
        <f>(I31-4)/(4-1)</f>
        <v>0.40348964013086136</v>
      </c>
      <c r="L31" s="19" t="s">
        <v>3</v>
      </c>
      <c r="M31" s="14">
        <f t="shared" ref="M31:P31" si="23">B31/B35</f>
        <v>0.53571428571428581</v>
      </c>
      <c r="N31" s="14">
        <f t="shared" si="23"/>
        <v>0.66176470588235292</v>
      </c>
      <c r="O31" s="14">
        <f t="shared" si="23"/>
        <v>0.54545454545454553</v>
      </c>
      <c r="P31" s="14">
        <f t="shared" si="23"/>
        <v>0.20000000000000001</v>
      </c>
      <c r="Q31" s="10">
        <f t="shared" si="9"/>
        <v>0.48573338426279605</v>
      </c>
      <c r="R31" s="11">
        <f t="shared" si="10"/>
        <v>0.48573338426279605</v>
      </c>
    </row>
    <row r="32" ht="15.75" customHeight="1">
      <c r="A32" s="19" t="s">
        <v>5</v>
      </c>
      <c r="B32" s="14">
        <v>0.33333333333333331</v>
      </c>
      <c r="C32" s="14">
        <v>1</v>
      </c>
      <c r="D32" s="14">
        <v>3</v>
      </c>
      <c r="E32" s="14">
        <v>5</v>
      </c>
      <c r="G32" s="20">
        <v>1</v>
      </c>
      <c r="H32" s="20">
        <f/>
        <v>0.30534351145038163</v>
      </c>
      <c r="I32" s="22"/>
      <c r="J32" s="22"/>
      <c r="L32" s="19" t="s">
        <v>5</v>
      </c>
      <c r="M32" s="14">
        <f t="shared" ref="M32:P32" si="24">B32/B35</f>
        <v>0.17857142857142858</v>
      </c>
      <c r="N32" s="14">
        <f t="shared" si="24"/>
        <v>0.22058823529411764</v>
      </c>
      <c r="O32" s="14">
        <f t="shared" si="24"/>
        <v>0.32727272727272727</v>
      </c>
      <c r="P32" s="14">
        <f t="shared" si="24"/>
        <v>0.33333333333333331</v>
      </c>
      <c r="Q32" s="10">
        <f t="shared" si="9"/>
        <v>0.26494143111790169</v>
      </c>
      <c r="R32" s="11">
        <f t="shared" si="10"/>
        <v>0.26494143111790169</v>
      </c>
    </row>
    <row r="33" ht="15.75" customHeight="1">
      <c r="A33" s="19" t="s">
        <v>7</v>
      </c>
      <c r="B33" s="14">
        <v>0.20000000000000001</v>
      </c>
      <c r="C33" s="14">
        <v>0.33333333333333331</v>
      </c>
      <c r="D33" s="14">
        <v>1</v>
      </c>
      <c r="E33" s="14">
        <v>6</v>
      </c>
      <c r="G33" s="20">
        <v>1</v>
      </c>
      <c r="H33" s="20">
        <f/>
        <v>0.24645583424209377</v>
      </c>
      <c r="I33" s="22"/>
      <c r="J33" s="22"/>
      <c r="L33" s="19" t="s">
        <v>7</v>
      </c>
      <c r="M33" s="14">
        <f t="shared" ref="M33:P33" si="25">B33/B35</f>
        <v>0.10714285714285716</v>
      </c>
      <c r="N33" s="14">
        <f t="shared" si="25"/>
        <v>0.073529411764705885</v>
      </c>
      <c r="O33" s="14">
        <f t="shared" si="25"/>
        <v>0.1090909090909091</v>
      </c>
      <c r="P33" s="14">
        <f t="shared" si="25"/>
        <v>0.40000000000000002</v>
      </c>
      <c r="Q33" s="10">
        <f t="shared" si="9"/>
        <v>0.17244079449961805</v>
      </c>
      <c r="R33" s="11">
        <f t="shared" si="10"/>
        <v>0.17244079449961805</v>
      </c>
    </row>
    <row r="34" ht="15.75" customHeight="1">
      <c r="A34" s="19" t="s">
        <v>9</v>
      </c>
      <c r="B34" s="14">
        <v>0.33333333333333331</v>
      </c>
      <c r="C34" s="14">
        <v>0.20000000000000001</v>
      </c>
      <c r="D34" s="14">
        <v>0.16666666666666666</v>
      </c>
      <c r="E34" s="14">
        <v>1</v>
      </c>
      <c r="G34" s="20">
        <v>1</v>
      </c>
      <c r="H34" s="20">
        <f/>
        <v>0.055616139585605233</v>
      </c>
      <c r="I34" s="22"/>
      <c r="J34" s="22"/>
      <c r="L34" s="19" t="s">
        <v>9</v>
      </c>
      <c r="M34" s="14">
        <f t="shared" ref="M34:P34" si="26">B34/B35</f>
        <v>0.17857142857142858</v>
      </c>
      <c r="N34" s="14">
        <f t="shared" si="26"/>
        <v>0.044117647058823532</v>
      </c>
      <c r="O34" s="14">
        <f t="shared" si="26"/>
        <v>0.018181818181818181</v>
      </c>
      <c r="P34" s="14">
        <f t="shared" si="26"/>
        <v>0.066666666666666666</v>
      </c>
      <c r="Q34" s="10">
        <f t="shared" si="9"/>
        <v>0.076884390119684246</v>
      </c>
      <c r="R34" s="11">
        <f t="shared" si="10"/>
        <v>0.076884390119684246</v>
      </c>
    </row>
    <row r="35" ht="15">
      <c r="A35" s="13" t="s">
        <v>11</v>
      </c>
      <c r="B35" s="14">
        <f t="shared" si="14"/>
        <v>1.8666666666666665</v>
      </c>
      <c r="C35" s="14">
        <f t="shared" si="14"/>
        <v>4.5333333333333332</v>
      </c>
      <c r="D35" s="14">
        <f t="shared" si="14"/>
        <v>9.1666666666666661</v>
      </c>
      <c r="E35" s="14">
        <f t="shared" si="14"/>
        <v>15</v>
      </c>
    </row>
    <row r="37" ht="15.75" customHeight="1">
      <c r="A37" s="1" t="s">
        <v>27</v>
      </c>
      <c r="B37" s="17" t="s">
        <v>3</v>
      </c>
      <c r="C37" s="17" t="s">
        <v>5</v>
      </c>
      <c r="D37" s="17" t="s">
        <v>7</v>
      </c>
      <c r="E37" s="17" t="s">
        <v>9</v>
      </c>
      <c r="G37" s="18" t="s">
        <v>18</v>
      </c>
      <c r="H37" s="18" t="s">
        <v>19</v>
      </c>
      <c r="I37" s="18" t="s">
        <v>20</v>
      </c>
      <c r="J37" s="18" t="s">
        <v>21</v>
      </c>
      <c r="L37" s="1" t="s">
        <v>27</v>
      </c>
      <c r="M37" s="17" t="s">
        <v>3</v>
      </c>
      <c r="N37" s="17" t="s">
        <v>5</v>
      </c>
      <c r="O37" s="17" t="s">
        <v>7</v>
      </c>
      <c r="P37" s="17" t="s">
        <v>9</v>
      </c>
      <c r="Q37" s="5" t="s">
        <v>0</v>
      </c>
      <c r="R37" s="5" t="s">
        <v>1</v>
      </c>
    </row>
    <row r="38" ht="15.75" customHeight="1">
      <c r="A38" s="19" t="s">
        <v>3</v>
      </c>
      <c r="B38" s="14">
        <v>1</v>
      </c>
      <c r="C38" s="14">
        <v>0.33333333333333331</v>
      </c>
      <c r="D38" s="14">
        <v>0.20000000000000001</v>
      </c>
      <c r="E38" s="14">
        <v>0.14285714285714285</v>
      </c>
      <c r="G38" s="20">
        <v>1</v>
      </c>
      <c r="H38" s="20">
        <f t="array" ref="H38:H41">MMULT(B38:E41,G38:G41)/MMULT(TRANSPOSE(G38:G41),MMULT(B38:E41,G38:G41))</f>
        <v>0.053140096618357481</v>
      </c>
      <c r="I38" s="20">
        <f t="array" ref="I38">MMULT(TRANSPOSE(G38:G41),MMULT(B38:E41,H38:H41))</f>
        <v>4.3832528180354267</v>
      </c>
      <c r="J38" s="20">
        <f>(I38-4)/(4-1)</f>
        <v>0.12775093934514223</v>
      </c>
      <c r="L38" s="19" t="s">
        <v>3</v>
      </c>
      <c r="M38" s="14">
        <f t="shared" ref="M38:P38" si="27">B38/B42</f>
        <v>0.0625</v>
      </c>
      <c r="N38" s="14">
        <f t="shared" si="27"/>
        <v>0.035714285714285719</v>
      </c>
      <c r="O38" s="14">
        <f t="shared" si="27"/>
        <v>0.044117647058823532</v>
      </c>
      <c r="P38" s="14">
        <f t="shared" si="27"/>
        <v>0.085227272727272721</v>
      </c>
      <c r="Q38" s="10">
        <f t="shared" si="9"/>
        <v>0.0568898013750955</v>
      </c>
      <c r="R38" s="11">
        <f t="shared" si="10"/>
        <v>0.0568898013750955</v>
      </c>
    </row>
    <row r="39" ht="17.25">
      <c r="A39" s="19" t="s">
        <v>5</v>
      </c>
      <c r="B39" s="14">
        <v>3</v>
      </c>
      <c r="C39" s="14">
        <v>1</v>
      </c>
      <c r="D39" s="14">
        <v>0.33333333333333331</v>
      </c>
      <c r="E39" s="14">
        <v>0.20000000000000001</v>
      </c>
      <c r="G39" s="20">
        <v>1</v>
      </c>
      <c r="H39" s="20">
        <f/>
        <v>0.14371980676328502</v>
      </c>
      <c r="I39" s="22"/>
      <c r="J39" s="22"/>
      <c r="L39" s="19" t="s">
        <v>5</v>
      </c>
      <c r="M39" s="14">
        <f t="shared" ref="M39:P39" si="28">B39/B42</f>
        <v>0.1875</v>
      </c>
      <c r="N39" s="14">
        <f t="shared" si="28"/>
        <v>0.10714285714285715</v>
      </c>
      <c r="O39" s="14">
        <f t="shared" si="28"/>
        <v>0.073529411764705885</v>
      </c>
      <c r="P39" s="14">
        <f t="shared" si="28"/>
        <v>0.11931818181818182</v>
      </c>
      <c r="Q39" s="10">
        <f t="shared" si="9"/>
        <v>0.12187261268143622</v>
      </c>
      <c r="R39" s="11">
        <f t="shared" si="10"/>
        <v>0.12187261268143622</v>
      </c>
    </row>
    <row r="40" ht="17.25">
      <c r="A40" s="19" t="s">
        <v>7</v>
      </c>
      <c r="B40" s="14">
        <v>5</v>
      </c>
      <c r="C40" s="14">
        <v>3</v>
      </c>
      <c r="D40" s="14">
        <v>1</v>
      </c>
      <c r="E40" s="14">
        <v>0.33333333333333331</v>
      </c>
      <c r="G40" s="20">
        <v>1</v>
      </c>
      <c r="H40" s="20">
        <f/>
        <v>0.29589371980676327</v>
      </c>
      <c r="I40" s="22"/>
      <c r="J40" s="22"/>
      <c r="L40" s="19" t="s">
        <v>7</v>
      </c>
      <c r="M40" s="14">
        <f t="shared" ref="M40:P40" si="29">B40/B42</f>
        <v>0.3125</v>
      </c>
      <c r="N40" s="14">
        <f t="shared" si="29"/>
        <v>0.32142857142857145</v>
      </c>
      <c r="O40" s="14">
        <f t="shared" si="29"/>
        <v>0.22058823529411764</v>
      </c>
      <c r="P40" s="14">
        <f t="shared" si="29"/>
        <v>0.19886363636363635</v>
      </c>
      <c r="Q40" s="10">
        <f t="shared" si="9"/>
        <v>0.26334511077158135</v>
      </c>
      <c r="R40" s="11">
        <f t="shared" si="10"/>
        <v>0.26334511077158135</v>
      </c>
    </row>
    <row r="41" ht="17.25">
      <c r="A41" s="19" t="s">
        <v>9</v>
      </c>
      <c r="B41" s="14">
        <v>7</v>
      </c>
      <c r="C41" s="14">
        <v>5</v>
      </c>
      <c r="D41" s="14">
        <v>3</v>
      </c>
      <c r="E41" s="14">
        <v>1</v>
      </c>
      <c r="G41" s="20">
        <v>1</v>
      </c>
      <c r="H41" s="20">
        <f/>
        <v>0.50724637681159412</v>
      </c>
      <c r="I41" s="22"/>
      <c r="J41" s="22"/>
      <c r="L41" s="19" t="s">
        <v>9</v>
      </c>
      <c r="M41" s="14">
        <f t="shared" ref="M41:P41" si="30">B41/B42</f>
        <v>0.4375</v>
      </c>
      <c r="N41" s="14">
        <f t="shared" si="30"/>
        <v>0.53571428571428581</v>
      </c>
      <c r="O41" s="14">
        <f t="shared" si="30"/>
        <v>0.66176470588235292</v>
      </c>
      <c r="P41" s="14">
        <f t="shared" si="30"/>
        <v>0.59659090909090906</v>
      </c>
      <c r="Q41" s="10">
        <f t="shared" si="9"/>
        <v>0.557892475171887</v>
      </c>
      <c r="R41" s="11">
        <f t="shared" si="10"/>
        <v>0.557892475171887</v>
      </c>
    </row>
    <row r="42" ht="15">
      <c r="A42" s="13" t="s">
        <v>11</v>
      </c>
      <c r="B42" s="14">
        <f t="shared" si="14"/>
        <v>16</v>
      </c>
      <c r="C42" s="14">
        <f t="shared" si="14"/>
        <v>9.3333333333333321</v>
      </c>
      <c r="D42" s="14">
        <f t="shared" si="14"/>
        <v>4.5333333333333332</v>
      </c>
      <c r="E42" s="14">
        <f t="shared" si="14"/>
        <v>1.6761904761904762</v>
      </c>
    </row>
    <row r="43" ht="17.25">
      <c r="F43" s="2"/>
      <c r="I43" s="5" t="s">
        <v>12</v>
      </c>
      <c r="J43" s="5" t="s">
        <v>0</v>
      </c>
    </row>
    <row r="44" ht="15">
      <c r="C44" s="23">
        <v>1</v>
      </c>
      <c r="D44" s="23">
        <v>2</v>
      </c>
      <c r="E44" s="23">
        <v>3</v>
      </c>
      <c r="F44" s="23">
        <v>4</v>
      </c>
      <c r="G44" s="23">
        <v>5</v>
      </c>
      <c r="I44" s="24">
        <v>1</v>
      </c>
      <c r="J44" s="10">
        <f t="shared" ref="J44:J48" si="31">N2</f>
        <v>0.36416117026316763</v>
      </c>
    </row>
    <row r="45" ht="17.25">
      <c r="B45" s="23" t="s">
        <v>3</v>
      </c>
      <c r="C45" s="21">
        <f t="shared" ref="C45:C48" si="32">Q10</f>
        <v>0.074235481396009162</v>
      </c>
      <c r="D45" s="10">
        <f t="shared" ref="D45:D48" si="33">Q17</f>
        <v>0.24476799171625946</v>
      </c>
      <c r="E45" s="10">
        <f t="shared" ref="E45:E48" si="34">Q24</f>
        <v>0.0568898013750955</v>
      </c>
      <c r="F45" s="10">
        <f t="shared" ref="F45:F48" si="35">Q31</f>
        <v>0.48573338426279605</v>
      </c>
      <c r="G45" s="25">
        <f t="shared" ref="G45:G48" si="36">Q38</f>
        <v>0.0568898013750955</v>
      </c>
      <c r="I45" s="24">
        <v>2</v>
      </c>
      <c r="J45" s="10">
        <f t="shared" si="31"/>
        <v>0.081113807551598333</v>
      </c>
    </row>
    <row r="46" ht="17.25">
      <c r="B46" s="23" t="s">
        <v>5</v>
      </c>
      <c r="C46" s="21">
        <f t="shared" si="32"/>
        <v>0.13089775809676857</v>
      </c>
      <c r="D46" s="10">
        <f t="shared" si="33"/>
        <v>0.11072634124824307</v>
      </c>
      <c r="E46" s="10">
        <f t="shared" si="34"/>
        <v>0.12187261268143622</v>
      </c>
      <c r="F46" s="10">
        <f t="shared" si="35"/>
        <v>0.26494143111790169</v>
      </c>
      <c r="G46" s="25">
        <f t="shared" si="36"/>
        <v>0.12187261268143622</v>
      </c>
      <c r="I46" s="24">
        <v>3</v>
      </c>
      <c r="J46" s="10">
        <f t="shared" si="31"/>
        <v>0.36416117026316763</v>
      </c>
    </row>
    <row r="47" ht="17.25">
      <c r="B47" s="23" t="s">
        <v>7</v>
      </c>
      <c r="C47" s="21">
        <f t="shared" si="32"/>
        <v>0.27838701979713526</v>
      </c>
      <c r="D47" s="10">
        <f t="shared" si="33"/>
        <v>0.048928178922814675</v>
      </c>
      <c r="E47" s="10">
        <f t="shared" si="34"/>
        <v>0.26334511077158135</v>
      </c>
      <c r="F47" s="10">
        <f t="shared" si="35"/>
        <v>0.17244079449961805</v>
      </c>
      <c r="G47" s="25">
        <f t="shared" si="36"/>
        <v>0.26334511077158135</v>
      </c>
      <c r="I47" s="24">
        <v>4</v>
      </c>
      <c r="J47" s="10">
        <f t="shared" si="31"/>
        <v>0.044222937655680021</v>
      </c>
    </row>
    <row r="48" ht="17.25">
      <c r="B48" s="23" t="s">
        <v>9</v>
      </c>
      <c r="C48" s="21">
        <f t="shared" si="32"/>
        <v>0.51647974071008707</v>
      </c>
      <c r="D48" s="10">
        <f t="shared" si="33"/>
        <v>0.59557748811268285</v>
      </c>
      <c r="E48" s="10">
        <f t="shared" si="34"/>
        <v>0.557892475171887</v>
      </c>
      <c r="F48" s="10">
        <f t="shared" si="35"/>
        <v>0.076884390119684246</v>
      </c>
      <c r="G48" s="25">
        <f t="shared" si="36"/>
        <v>0.557892475171887</v>
      </c>
      <c r="I48" s="24">
        <v>5</v>
      </c>
      <c r="J48" s="10">
        <f t="shared" si="31"/>
        <v>0.14634091426638626</v>
      </c>
    </row>
    <row r="50" ht="15">
      <c r="C50" s="5" t="s">
        <v>0</v>
      </c>
      <c r="D50" s="5" t="s">
        <v>1</v>
      </c>
    </row>
    <row r="51" ht="15">
      <c r="A51" s="26" t="s">
        <v>28</v>
      </c>
      <c r="B51" s="5" t="s">
        <v>3</v>
      </c>
      <c r="C51" s="10">
        <f t="array" ref="C51:C54">MMULT(C45:G48, J44:J48)</f>
        <v>0.097410662915078813</v>
      </c>
      <c r="D51" s="11">
        <f t="shared" ref="D51:D54" si="37">C51*100%</f>
        <v>0.097410662915078813</v>
      </c>
    </row>
    <row r="52" ht="15">
      <c r="B52" s="5" t="s">
        <v>5</v>
      </c>
      <c r="C52" s="27">
        <f/>
        <v>0.13058202711991659</v>
      </c>
      <c r="D52" s="11">
        <f t="shared" si="37"/>
        <v>0.13058202711991659</v>
      </c>
    </row>
    <row r="53" ht="15">
      <c r="B53" s="5" t="s">
        <v>7</v>
      </c>
      <c r="C53" s="10">
        <f/>
        <v>0.2474105603084068</v>
      </c>
      <c r="D53" s="11">
        <f t="shared" si="37"/>
        <v>0.2474105603084068</v>
      </c>
    </row>
    <row r="54" ht="15">
      <c r="B54" s="5" t="s">
        <v>9</v>
      </c>
      <c r="C54" s="28">
        <f/>
        <v>0.52459674965659775</v>
      </c>
      <c r="D54" s="29">
        <f t="shared" si="37"/>
        <v>0.52459674965659775</v>
      </c>
    </row>
    <row r="57" ht="15">
      <c r="A57" s="30" t="s">
        <v>29</v>
      </c>
    </row>
    <row r="58" ht="60">
      <c r="A58" s="31" t="s">
        <v>30</v>
      </c>
    </row>
  </sheetData>
  <mergeCells count="1">
    <mergeCell ref="M8:P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Елисеев</dc:creator>
  <cp:revision>1</cp:revision>
  <dcterms:modified xsi:type="dcterms:W3CDTF">2025-11-23T13:33:48Z</dcterms:modified>
</cp:coreProperties>
</file>